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5.xml.rels" ContentType="application/vnd.openxmlformats-package.relationships+xml"/>
  <Override PartName="/xl/worksheets/_rels/sheet36.xml.rels" ContentType="application/vnd.openxmlformats-package.relationships+xml"/>
  <Override PartName="/xl/worksheets/_rels/sheet37.xml.rels" ContentType="application/vnd.openxmlformats-package.relationships+xml"/>
  <Override PartName="/xl/worksheets/_rels/sheet38.xml.rels" ContentType="application/vnd.openxmlformats-package.relationships+xml"/>
  <Override PartName="/xl/worksheets/_rels/sheet40.xml.rels" ContentType="application/vnd.openxmlformats-package.relationships+xml"/>
  <Override PartName="/xl/worksheets/_rels/sheet39.xml.rels" ContentType="application/vnd.openxmlformats-package.relationships+xml"/>
  <Override PartName="/xl/worksheets/_rels/sheet41.xml.rels" ContentType="application/vnd.openxmlformats-package.relationships+xml"/>
  <Override PartName="/xl/worksheets/_rels/sheet42.xml.rels" ContentType="application/vnd.openxmlformats-package.relationships+xml"/>
  <Override PartName="/xl/worksheets/_rels/sheet43.xml.rels" ContentType="application/vnd.openxmlformats-package.relationships+xml"/>
  <Override PartName="/xl/worksheets/_rels/sheet44.xml.rels" ContentType="application/vnd.openxmlformats-package.relationships+xml"/>
  <Override PartName="/xl/worksheets/_rels/sheet45.xml.rels" ContentType="application/vnd.openxmlformats-package.relationships+xml"/>
  <Override PartName="/xl/worksheets/_rels/sheet34.xml.rels" ContentType="application/vnd.openxmlformats-package.relationships+xml"/>
  <Override PartName="/xl/worksheets/_rels/sheet46.xml.rels" ContentType="application/vnd.openxmlformats-package.relationships+xml"/>
  <Override PartName="/xl/worksheets/_rels/sheet33.xml.rels" ContentType="application/vnd.openxmlformats-package.relationships+xml"/>
  <Override PartName="/xl/worksheets/_rels/sheet32.xml.rels" ContentType="application/vnd.openxmlformats-package.relationships+xml"/>
  <Override PartName="/xl/worksheets/_rels/sheet23.xml.rels" ContentType="application/vnd.openxmlformats-package.relationships+xml"/>
  <Override PartName="/xl/worksheets/_rels/sheet22.xml.rels" ContentType="application/vnd.openxmlformats-package.relationships+xml"/>
  <Override PartName="/xl/worksheets/_rels/sheet21.xml.rels" ContentType="application/vnd.openxmlformats-package.relationships+xml"/>
  <Override PartName="/xl/worksheets/_rels/sheet19.xml.rels" ContentType="application/vnd.openxmlformats-package.relationships+xml"/>
  <Override PartName="/xl/worksheets/_rels/sheet20.xml.rels" ContentType="application/vnd.openxmlformats-package.relationships+xml"/>
  <Override PartName="/xl/worksheets/_rels/sheet15.xml.rels" ContentType="application/vnd.openxmlformats-package.relationships+xml"/>
  <Override PartName="/xl/worksheets/_rels/sheet13.xml.rels" ContentType="application/vnd.openxmlformats-package.relationships+xml"/>
  <Override PartName="/xl/worksheets/_rels/sheet30.xml.rels" ContentType="application/vnd.openxmlformats-package.relationships+xml"/>
  <Override PartName="/xl/worksheets/_rels/sheet28.xml.rels" ContentType="application/vnd.openxmlformats-package.relationships+xml"/>
  <Override PartName="/xl/worksheets/_rels/sheet29.xml.rels" ContentType="application/vnd.openxmlformats-package.relationships+xml"/>
  <Override PartName="/xl/worksheets/_rels/sheet31.xml.rels" ContentType="application/vnd.openxmlformats-package.relationships+xml"/>
  <Override PartName="/xl/worksheets/_rels/sheet47.xml.rels" ContentType="application/vnd.openxmlformats-package.relationships+xml"/>
  <Override PartName="/xl/worksheets/_rels/sheet12.xml.rels" ContentType="application/vnd.openxmlformats-package.relationship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39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5.xml" ContentType="application/vnd.openxmlformats-officedocument.spreadsheetml.worksheet+xml"/>
  <Override PartName="/xl/worksheets/sheet46.xml" ContentType="application/vnd.openxmlformats-officedocument.spreadsheetml.worksheet+xml"/>
  <Override PartName="/xl/worksheets/sheet6.xml" ContentType="application/vnd.openxmlformats-officedocument.spreadsheetml.worksheet+xml"/>
  <Override PartName="/xl/worksheets/sheet50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51.xml" ContentType="application/vnd.openxmlformats-officedocument.spreadsheetml.worksheet+xml"/>
  <Override PartName="/xl/worksheets/sheet14.xml" ContentType="application/vnd.openxmlformats-officedocument.spreadsheetml.worksheet+xml"/>
  <Override PartName="/xl/worksheets/sheet52.xml" ContentType="application/vnd.openxmlformats-officedocument.spreadsheetml.worksheet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9.xml" ContentType="application/vnd.openxmlformats-officedocument.spreadsheetml.worksheet+xml"/>
  <Override PartName="/xl/worksheets/sheet31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sharedStrings.xml" ContentType="application/vnd.openxmlformats-officedocument.spreadsheetml.sharedStrings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9.xml" ContentType="application/vnd.openxmlformats-officedocument.drawing+xml"/>
  <Override PartName="/xl/drawings/drawing18.xml" ContentType="application/vnd.openxmlformats-officedocument.drawing+xml"/>
  <Override PartName="/xl/drawings/drawing20.xml" ContentType="application/vnd.openxmlformats-officedocument.drawing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drawings/drawing8.xml" ContentType="application/vnd.openxmlformats-officedocument.drawing+xml"/>
  <Override PartName="/xl/drawings/drawing17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7.xml" ContentType="application/vnd.openxmlformats-officedocument.drawing+xml"/>
  <Override PartName="/xl/drawings/drawing1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28.xml" ContentType="application/vnd.openxmlformats-officedocument.drawing+xml"/>
  <Override PartName="/xl/drawings/drawing27.xml" ContentType="application/vnd.openxmlformats-officedocument.drawing+xml"/>
  <Override PartName="/xl/drawings/drawing26.xml" ContentType="application/vnd.openxmlformats-officedocument.drawing+xml"/>
  <Override PartName="/xl/drawings/drawing25.xml" ContentType="application/vnd.openxmlformats-officedocument.drawing+xml"/>
  <Override PartName="/xl/drawings/drawing24.xml" ContentType="application/vnd.openxmlformats-officedocument.drawing+xml"/>
  <Override PartName="/xl/drawings/drawing23.xml" ContentType="application/vnd.openxmlformats-officedocument.drawing+xml"/>
  <Override PartName="/xl/drawings/drawing22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21.xml" ContentType="application/vnd.openxmlformats-officedocument.drawing+xml"/>
  <Override PartName="/xl/drawings/drawing1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_Here" sheetId="1" state="visible" r:id="rId3"/>
    <sheet name="Provider" sheetId="2" state="visible" r:id="rId4"/>
    <sheet name="Participants" sheetId="3" state="visible" r:id="rId5"/>
    <sheet name="Staff" sheetId="4" state="visible" r:id="rId6"/>
    <sheet name="Roster" sheetId="5" state="visible" r:id="rId7"/>
    <sheet name="Price_Table" sheetId="6" state="visible" r:id="rId8"/>
    <sheet name="Invoice_Batch" sheetId="7" state="visible" r:id="rId9"/>
    <sheet name="Inbox" sheetId="8" state="visible" r:id="rId10"/>
    <sheet name="Task_Board" sheetId="9" state="visible" r:id="rId11"/>
    <sheet name="Incident_Log" sheetId="10" state="visible" r:id="rId12"/>
    <sheet name="Complaints_Log" sheetId="11" state="visible" r:id="rId13"/>
    <sheet name="Follow_Up_Log" sheetId="12" state="visible" r:id="rId14"/>
    <sheet name="Security_Extensions" sheetId="13" state="visible" r:id="rId15"/>
    <sheet name="M6_Fictional_Plan" sheetId="14" state="visible" r:id="rId16"/>
    <sheet name="M7_Tickets" sheetId="15" state="visible" r:id="rId17"/>
    <sheet name="M10_Onboarding" sheetId="16" state="visible" r:id="rId18"/>
    <sheet name="M10_Agreement" sheetId="17" state="visible" r:id="rId19"/>
    <sheet name="M14_Systems_ReadMe" sheetId="18" state="visible" r:id="rId20"/>
    <sheet name="M14_Participants" sheetId="19" state="visible" r:id="rId21"/>
    <sheet name="M14_Staff" sheetId="20" state="visible" r:id="rId22"/>
    <sheet name="M14_Bookings" sheetId="21" state="visible" r:id="rId23"/>
    <sheet name="M14_Claims" sheetId="22" state="visible" r:id="rId24"/>
    <sheet name="M14_Incidents" sheetId="23" state="visible" r:id="rId25"/>
    <sheet name="M14_SOP_Task" sheetId="24" state="visible" r:id="rId26"/>
    <sheet name="M15_Capstone" sheetId="25" state="visible" r:id="rId27"/>
    <sheet name="M16_Portfolio" sheetId="26" state="visible" r:id="rId28"/>
    <sheet name="Certification_Rubric" sheetId="27" state="visible" r:id="rId29"/>
    <sheet name="M11_Service_Delivery" sheetId="28" state="visible" r:id="rId30"/>
    <sheet name="M1_Job_Post" sheetId="29" state="visible" r:id="rId31"/>
    <sheet name="M1_Profile_Template" sheetId="30" state="visible" r:id="rId32"/>
    <sheet name="M2_Weak_Drafts" sheetId="31" state="visible" r:id="rId33"/>
    <sheet name="M2_Incomplete_Questions" sheetId="32" state="visible" r:id="rId34"/>
    <sheet name="M3_Messy_Files" sheetId="33" state="visible" r:id="rId35"/>
    <sheet name="M4_Format_Trap" sheetId="34" state="visible" r:id="rId36"/>
    <sheet name="M4_Handover_Template" sheetId="35" state="visible" r:id="rId37"/>
    <sheet name="M5_Situations" sheetId="36" state="visible" r:id="rId38"/>
    <sheet name="M5_Safe_Questions" sheetId="37" state="visible" r:id="rId39"/>
    <sheet name="M8_Pricing_Check_Log" sheetId="38" state="visible" r:id="rId40"/>
    <sheet name="M9_Extended_Practice" sheetId="39" state="visible" r:id="rId41"/>
    <sheet name="M12_Security_Practice" sheetId="40" state="visible" r:id="rId42"/>
    <sheet name="M17_Trial_Pack" sheetId="41" state="visible" r:id="rId43"/>
    <sheet name="M17_30_Day_Plan" sheetId="42" state="visible" r:id="rId44"/>
    <sheet name="M16_Outreach_Template" sheetId="43" state="visible" r:id="rId45"/>
    <sheet name="Calibration_Exemplars" sheetId="44" state="visible" r:id="rId46"/>
    <sheet name="Self_Audit_Guide" sheetId="45" state="visible" r:id="rId47"/>
    <sheet name="M11_Invoice_Check_Log" sheetId="46" state="visible" r:id="rId48"/>
    <sheet name="M6_Support_Requests" sheetId="47" state="visible" r:id="rId49"/>
    <sheet name="M15_Capstone_Scenarios" sheetId="48" state="visible" r:id="rId50"/>
    <sheet name="M15_Capstone_Invoice_Batch" sheetId="49" state="visible" r:id="rId51"/>
    <sheet name="M15_Capstone_Roster" sheetId="50" state="visible" r:id="rId52"/>
    <sheet name="M15_Capstone_Audit_Records" sheetId="51" state="visible" r:id="rId53"/>
    <sheet name="M15_Capstone_Invoice_Evidence" sheetId="52" state="visible" r:id="rId54"/>
  </sheets>
  <definedNames>
    <definedName function="false" hidden="true" localSheetId="43" name="_xlnm._FilterDatabase" vbProcedure="false">Calibration_Exemplars!$A$3:$E$13</definedName>
    <definedName function="false" hidden="true" localSheetId="11" name="_xlnm._FilterDatabase" vbProcedure="false">Follow_Up_Log!$A$4:$K$23</definedName>
    <definedName function="false" hidden="true" localSheetId="28" name="_xlnm._FilterDatabase" vbProcedure="false">M1_Job_Post!$A$3:$B$11</definedName>
    <definedName function="false" hidden="true" localSheetId="29" name="_xlnm._FilterDatabase" vbProcedure="false">M1_Profile_Template!$A$3:$B$11</definedName>
    <definedName function="false" hidden="true" localSheetId="45" name="_xlnm._FilterDatabase" vbProcedure="false">M11_Invoice_Check_Log!$A$3:$M$3</definedName>
    <definedName function="false" hidden="true" localSheetId="27" name="_xlnm._FilterDatabase" vbProcedure="false">M11_Service_Delivery!$A$3:$K$20</definedName>
    <definedName function="false" hidden="true" localSheetId="39" name="_xlnm._FilterDatabase" vbProcedure="false">M12_Security_Practice!$A$3:$E$6</definedName>
    <definedName function="false" hidden="true" localSheetId="20" name="_xlnm._FilterDatabase" vbProcedure="false">M14_Bookings!$A$4:$I$8</definedName>
    <definedName function="false" hidden="true" localSheetId="21" name="_xlnm._FilterDatabase" vbProcedure="false">M14_Claims!$A$4:$I$8</definedName>
    <definedName function="false" hidden="true" localSheetId="22" name="_xlnm._FilterDatabase" vbProcedure="false">M14_Incidents!$A$4:$H$7</definedName>
    <definedName function="false" hidden="true" localSheetId="18" name="_xlnm._FilterDatabase" vbProcedure="false">M14_Participants!$A$4:$G$7</definedName>
    <definedName function="false" hidden="true" localSheetId="19" name="_xlnm._FilterDatabase" vbProcedure="false">M14_Staff!$A$4:$H$8</definedName>
    <definedName function="false" hidden="true" localSheetId="42" name="_xlnm._FilterDatabase" vbProcedure="false">M16_Outreach_Template!$A$3:$B$11</definedName>
    <definedName function="false" hidden="true" localSheetId="41" name="_xlnm._FilterDatabase" vbProcedure="false">M17_30_Day_Plan!$A$3:$B$13</definedName>
    <definedName function="false" hidden="true" localSheetId="40" name="_xlnm._FilterDatabase" vbProcedure="false">M17_Trial_Pack!$A$3:$D$6</definedName>
    <definedName function="false" hidden="true" localSheetId="31" name="_xlnm._FilterDatabase" vbProcedure="false">M2_Incomplete_Questions!$A$3:$D$8</definedName>
    <definedName function="false" hidden="true" localSheetId="30" name="_xlnm._FilterDatabase" vbProcedure="false">M2_Weak_Drafts!$A$3:$D$6</definedName>
    <definedName function="false" hidden="true" localSheetId="32" name="_xlnm._FilterDatabase" vbProcedure="false">M3_Messy_Files!$A$3:$D$8</definedName>
    <definedName function="false" hidden="true" localSheetId="33" name="_xlnm._FilterDatabase" vbProcedure="false">M4_Format_Trap!$A$3:$D$7</definedName>
    <definedName function="false" hidden="true" localSheetId="34" name="_xlnm._FilterDatabase" vbProcedure="false">M4_Handover_Template!$A$3:$B$13</definedName>
    <definedName function="false" hidden="true" localSheetId="36" name="_xlnm._FilterDatabase" vbProcedure="false">M5_Safe_Questions!$A$3:$D$6</definedName>
    <definedName function="false" hidden="true" localSheetId="35" name="_xlnm._FilterDatabase" vbProcedure="false">M5_Situations!$A$3:$D$8</definedName>
    <definedName function="false" hidden="true" localSheetId="46" name="_xlnm._FilterDatabase" vbProcedure="false">M6_Support_Requests!$A$3:$F$6</definedName>
    <definedName function="false" hidden="true" localSheetId="14" name="_xlnm._FilterDatabase" vbProcedure="false">M7_Tickets!$A$4:$I$14</definedName>
    <definedName function="false" hidden="true" localSheetId="37" name="_xlnm._FilterDatabase" vbProcedure="false">M8_Pricing_Check_Log!$A$3:$I$3</definedName>
    <definedName function="false" hidden="true" localSheetId="38" name="_xlnm._FilterDatabase" vbProcedure="false">M9_Extended_Practice!$A$3:$I$6</definedName>
    <definedName function="false" hidden="true" localSheetId="12" name="_xlnm._FilterDatabase" vbProcedure="false">Security_Extensions!$A$4:$G$8</definedName>
    <definedName function="false" hidden="true" localSheetId="44" name="_xlnm._FilterDatabase" vbProcedure="false">Self_Audit_Guide!$A$3:$E$13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<sst xmlns="http://schemas.openxmlformats.org/spreadsheetml/2006/main" count="2477" uniqueCount="1537">
  <si>
    <t xml:space="preserve">Wattlebird Support Services: Practice Pack</t>
  </si>
  <si>
    <t xml:space="preserve">PVA Academy | NDIS Virtual Assistant Foundations | FICTIONAL DATA ONLY</t>
  </si>
  <si>
    <t xml:space="preserve">Wattlebird 'today' (simulation date)</t>
  </si>
  <si>
    <t xml:space="preserve">The practice week starts on this Monday. Formulas use it instead of today's real date. Please don't change it.</t>
  </si>
  <si>
    <t xml:space="preserve">Screening reminder window (days)</t>
  </si>
  <si>
    <t xml:space="preserve">Wattlebird's own fictional rule: flag screening checks expiring within this many days.</t>
  </si>
  <si>
    <t xml:space="preserve">Colour legend</t>
  </si>
  <si>
    <t xml:space="preserve">Staff records in this pack</t>
  </si>
  <si>
    <t xml:space="preserve">Corrected: 21 fictional staff records are included.</t>
  </si>
  <si>
    <t xml:space="preserve">Teal header row</t>
  </si>
  <si>
    <t xml:space="preserve">Column names</t>
  </si>
  <si>
    <t xml:space="preserve">Pack version</t>
  </si>
  <si>
    <t xml:space="preserve">v2.3.7 learner bundle</t>
  </si>
  <si>
    <t xml:space="preserve">M15 rebuild: rebuilt capstone inputs, concrete trial records, source/navigation repairs, assessment integrity fixes.</t>
  </si>
  <si>
    <t xml:space="preserve">Plain cells with formulas</t>
  </si>
  <si>
    <t xml:space="preserve">Calculated for you</t>
  </si>
  <si>
    <t xml:space="preserve">Unified workflow</t>
  </si>
  <si>
    <t xml:space="preserve">DO → CHECK → CLASSIFY → ACT/HAND OFF → FOLLOW UP → CLOSE</t>
  </si>
  <si>
    <t xml:space="preserve">Classification: OK / FLAG / ASK / ESCALATE</t>
  </si>
  <si>
    <t xml:space="preserve">Tab</t>
  </si>
  <si>
    <t xml:space="preserve">Start_Here</t>
  </si>
  <si>
    <t xml:space="preserve">Practice workbook sheet</t>
  </si>
  <si>
    <t xml:space="preserve">Provider</t>
  </si>
  <si>
    <t xml:space="preserve">Fictional provider profile and house rules</t>
  </si>
  <si>
    <t xml:space="preserve">Participants</t>
  </si>
  <si>
    <t xml:space="preserve">Fictional participant records and plan context</t>
  </si>
  <si>
    <t xml:space="preserve">Staff</t>
  </si>
  <si>
    <t xml:space="preserve">Fictional staff, availability and screening</t>
  </si>
  <si>
    <t xml:space="preserve">Roster</t>
  </si>
  <si>
    <t xml:space="preserve">Practice-week scheduling records</t>
  </si>
  <si>
    <t xml:space="preserve">Price_Table</t>
  </si>
  <si>
    <t xml:space="preserve">Fictional practice prices and limits</t>
  </si>
  <si>
    <t xml:space="preserve">Invoice_Batch</t>
  </si>
  <si>
    <t xml:space="preserve">Fictional invoice batch for M11 practice</t>
  </si>
  <si>
    <t xml:space="preserve">Inbox</t>
  </si>
  <si>
    <t xml:space="preserve">Fictional incoming messages and task context</t>
  </si>
  <si>
    <t xml:space="preserve">Task_Board</t>
  </si>
  <si>
    <t xml:space="preserve">Fictional task queue</t>
  </si>
  <si>
    <t xml:space="preserve">Incident_Log</t>
  </si>
  <si>
    <t xml:space="preserve">Fictional incident records</t>
  </si>
  <si>
    <t xml:space="preserve">Complaints_Log</t>
  </si>
  <si>
    <t xml:space="preserve">Fictional complaint records</t>
  </si>
  <si>
    <t xml:space="preserve">Follow_Up_Log</t>
  </si>
  <si>
    <t xml:space="preserve">Track unresolved work and closure</t>
  </si>
  <si>
    <t xml:space="preserve">Security_Extensions</t>
  </si>
  <si>
    <t xml:space="preserve">Fictional security/handling practice records</t>
  </si>
  <si>
    <t xml:space="preserve">M6_Fictional_Plan</t>
  </si>
  <si>
    <t xml:space="preserve">Fictional plan and budget practice</t>
  </si>
  <si>
    <t xml:space="preserve">M7_Tickets</t>
  </si>
  <si>
    <t xml:space="preserve">Ten role-routing practice tickets</t>
  </si>
  <si>
    <t xml:space="preserve">M10_Onboarding</t>
  </si>
  <si>
    <t xml:space="preserve">Fictional onboarding records</t>
  </si>
  <si>
    <t xml:space="preserve">M10_Agreement</t>
  </si>
  <si>
    <t xml:space="preserve">Fictional draft service agreement template</t>
  </si>
  <si>
    <t xml:space="preserve">M14_Systems_ReadMe</t>
  </si>
  <si>
    <t xml:space="preserve">Systems-lab instructions</t>
  </si>
  <si>
    <t xml:space="preserve">M14_Participants</t>
  </si>
  <si>
    <t xml:space="preserve">Systems-lab participant data</t>
  </si>
  <si>
    <t xml:space="preserve">M14_Staff</t>
  </si>
  <si>
    <t xml:space="preserve">Systems-lab staff data</t>
  </si>
  <si>
    <t xml:space="preserve">M14_Bookings</t>
  </si>
  <si>
    <t xml:space="preserve">Systems-lab booking data</t>
  </si>
  <si>
    <t xml:space="preserve">M14_Claims</t>
  </si>
  <si>
    <t xml:space="preserve">Systems-lab claims data</t>
  </si>
  <si>
    <t xml:space="preserve">M14_Incidents</t>
  </si>
  <si>
    <t xml:space="preserve">Fictional incident-register practice</t>
  </si>
  <si>
    <t xml:space="preserve">M14_SOP_Task</t>
  </si>
  <si>
    <t xml:space="preserve">Systems-lab SOP task</t>
  </si>
  <si>
    <t xml:space="preserve">M15_Capstone</t>
  </si>
  <si>
    <t xml:space="preserve">Learner capstone response sheet</t>
  </si>
  <si>
    <t xml:space="preserve">M16_Portfolio</t>
  </si>
  <si>
    <t xml:space="preserve">Portfolio evidence structure</t>
  </si>
  <si>
    <t xml:space="preserve">Certification_Rubric</t>
  </si>
  <si>
    <t xml:space="preserve">Learner certification evidence rubric</t>
  </si>
  <si>
    <t xml:space="preserve">M11_Service_Delivery</t>
  </si>
  <si>
    <t xml:space="preserve">Fictional service-delivery evidence</t>
  </si>
  <si>
    <t xml:space="preserve">M1_Job_Post</t>
  </si>
  <si>
    <t xml:space="preserve">Practice job post</t>
  </si>
  <si>
    <t xml:space="preserve">M1_Profile_Template</t>
  </si>
  <si>
    <t xml:space="preserve">Learner profile template</t>
  </si>
  <si>
    <t xml:space="preserve">M2_Weak_Drafts</t>
  </si>
  <si>
    <t xml:space="preserve">Communication repair practice</t>
  </si>
  <si>
    <t xml:space="preserve">M2_Incomplete_Questions</t>
  </si>
  <si>
    <t xml:space="preserve">Question-writing practice</t>
  </si>
  <si>
    <t xml:space="preserve">M3_Messy_Files</t>
  </si>
  <si>
    <t xml:space="preserve">Organization practice</t>
  </si>
  <si>
    <t xml:space="preserve">M4_Format_Trap</t>
  </si>
  <si>
    <t xml:space="preserve">Australian format practice</t>
  </si>
  <si>
    <t xml:space="preserve">M4_Handover_Template</t>
  </si>
  <si>
    <t xml:space="preserve">Handover practice</t>
  </si>
  <si>
    <t xml:space="preserve">M5_Situations</t>
  </si>
  <si>
    <t xml:space="preserve">NDIS context practice</t>
  </si>
  <si>
    <t xml:space="preserve">M5_Safe_Questions</t>
  </si>
  <si>
    <t xml:space="preserve">Safe-question practice</t>
  </si>
  <si>
    <t xml:space="preserve">M8_Pricing_Check_Log</t>
  </si>
  <si>
    <t xml:space="preserve">Current-source pricing practice</t>
  </si>
  <si>
    <t xml:space="preserve">M9_Extended_Practice</t>
  </si>
  <si>
    <t xml:space="preserve">Roster practice extension</t>
  </si>
  <si>
    <t xml:space="preserve">M12_Security_Practice</t>
  </si>
  <si>
    <t xml:space="preserve">Privacy practice</t>
  </si>
  <si>
    <t xml:space="preserve">M17_Trial_Pack</t>
  </si>
  <si>
    <t xml:space="preserve">Concrete fictional trial inputs with supplied records</t>
  </si>
  <si>
    <t xml:space="preserve">M17_30_Day_Plan</t>
  </si>
  <si>
    <t xml:space="preserve">First-30-days planning</t>
  </si>
  <si>
    <t xml:space="preserve">M16_Outreach_Template</t>
  </si>
  <si>
    <t xml:space="preserve">Client outreach practice</t>
  </si>
  <si>
    <t xml:space="preserve">Calibration_Exemplars</t>
  </si>
  <si>
    <t xml:space="preserve">Fictional self-audit calibration examples</t>
  </si>
  <si>
    <t xml:space="preserve">Self_Audit_Guide</t>
  </si>
  <si>
    <t xml:space="preserve">Certification self-audit</t>
  </si>
  <si>
    <t xml:space="preserve">M11_Invoice_Check_Log</t>
  </si>
  <si>
    <t xml:space="preserve">Learner invoice-check template</t>
  </si>
  <si>
    <t xml:space="preserve">M6_Support_Requests</t>
  </si>
  <si>
    <t xml:space="preserve">M15_Capstone_Scenarios</t>
  </si>
  <si>
    <t xml:space="preserve">Capstone task scenarios and starting points</t>
  </si>
  <si>
    <t xml:space="preserve">M15_Capstone_Invoice_Batch</t>
  </si>
  <si>
    <t xml:space="preserve">Assessment-only six-line invoice batch</t>
  </si>
  <si>
    <t xml:space="preserve">M15_Capstone_Roster</t>
  </si>
  <si>
    <t xml:space="preserve">Assessment-only roster evidence for CAP-01/02</t>
  </si>
  <si>
    <t xml:space="preserve">M15_Capstone_Audit_Records</t>
  </si>
  <si>
    <t xml:space="preserve">Assessment-only audit records for CAP-10</t>
  </si>
  <si>
    <t xml:space="preserve">M15_Capstone_Invoice_Evidence</t>
  </si>
  <si>
    <t xml:space="preserve">Neutral assessment evidence for CAP-05</t>
  </si>
  <si>
    <t xml:space="preserve">About Wattlebird Support Services (fictional)</t>
  </si>
  <si>
    <t xml:space="preserve">An invented, mid-sized NDIS provider used for practice. Not a real business.</t>
  </si>
  <si>
    <t xml:space="preserve">Topic</t>
  </si>
  <si>
    <t xml:space="preserve">Detail</t>
  </si>
  <si>
    <t xml:space="preserve">Locations</t>
  </si>
  <si>
    <t xml:space="preserve">Melbourne head office and a small Gold Coast site</t>
  </si>
  <si>
    <t xml:space="preserve">Time zones this week</t>
  </si>
  <si>
    <t xml:space="preserve">Melbourne: AEDT (daylight saving). Gold Coast: AEST (no daylight saving).</t>
  </si>
  <si>
    <t xml:space="preserve">Office hours</t>
  </si>
  <si>
    <t xml:space="preserve">Melbourne Mon to Fri 8:30 am to 5:00 pm (Melbourne time). Gold Coast Mon to Thu 9:00 am to 4:00 pm (Gold Coast time).</t>
  </si>
  <si>
    <t xml:space="preserve">Team (about 25)</t>
  </si>
  <si>
    <t xml:space="preserve">Director, operations manager, 2 support coordinators, 1 plan manager, 1 admin officer, about 12 support workers, contracted allied health. The Staff tab lists the people used in this pack.</t>
  </si>
  <si>
    <t xml:space="preserve">About 40 in total. 12 are used in this pack.</t>
  </si>
  <si>
    <t xml:space="preserve">Services</t>
  </si>
  <si>
    <t xml:space="preserve">Support coordination, plan management, daily living and community participation supports, allied health.</t>
  </si>
  <si>
    <t xml:space="preserve">Your role</t>
  </si>
  <si>
    <t xml:space="preserve">New part-time virtual assistant reporting to the operations manager (Rhonda Blake). Tasks arrive by email.</t>
  </si>
  <si>
    <t xml:space="preserve">Systems</t>
  </si>
  <si>
    <t xml:space="preserve">Google Workspace, this Google Sheets pack, a free task board, and free chat. Paid NDIS systems are only shown as mock screens in the course.</t>
  </si>
  <si>
    <t xml:space="preserve">Fictional house rule: cancellations</t>
  </si>
  <si>
    <t xml:space="preserve">Cancellations with less than 2 business days' notice are recorded. The operations manager decides whether any charge applies.</t>
  </si>
  <si>
    <t xml:space="preserve">Fictional house rule: escalation</t>
  </si>
  <si>
    <t xml:space="preserve">Anything involving safety, a complaint, a privacy slip, or an urgent incident goes straight to the operations manager, right away. Don't wait for the next day.</t>
  </si>
  <si>
    <t xml:space="preserve">Fictional house rule: information</t>
  </si>
  <si>
    <t xml:space="preserve">Participant information is only shared with the participant or someone the operations manager confirms has permission.</t>
  </si>
  <si>
    <t xml:space="preserve">VA working hours (fictional)</t>
  </si>
  <si>
    <t xml:space="preserve">Mon–Fri 8:30 am–12:30 pm Melbourne time. The learner should convert this window to PHT for planning.</t>
  </si>
  <si>
    <t xml:space="preserve">Urgent channel (fictional)</t>
  </si>
  <si>
    <t xml:space="preserve">Wattlebird Urgent Chat — internal provider channel used for safety, privacy slips, complaints requiring urgent attention, and urgent incidents.</t>
  </si>
  <si>
    <t xml:space="preserve">Primary urgent contact (fictional)</t>
  </si>
  <si>
    <t xml:space="preserve">Rhonda Blake — Operations Manager.</t>
  </si>
  <si>
    <t xml:space="preserve">Backup urgent contact (fictional)</t>
  </si>
  <si>
    <t xml:space="preserve">Callum Reid — Director. Use the backup when the primary contact does not acknowledge within 10 minutes.</t>
  </si>
  <si>
    <t xml:space="preserve">Re-escalation interval (fictional)</t>
  </si>
  <si>
    <t xml:space="preserve">If an urgent handoff is not acknowledged within 10 minutes, contact the backup and record the time and channel used.</t>
  </si>
  <si>
    <t xml:space="preserve">After-hours principle (fictional)</t>
  </si>
  <si>
    <t xml:space="preserve">The urgent procedure applies when an urgent matter is discovered outside normal office hours. The VA does not give clinical, legal, funding, or reportability advice.</t>
  </si>
  <si>
    <t xml:space="preserve">Privacy owner (fictional)</t>
  </si>
  <si>
    <t xml:space="preserve">Rhonda Blake is the fictional privacy/operations owner for this practice pack.</t>
  </si>
  <si>
    <t xml:space="preserve">Fictional house rule: invoice routing</t>
  </si>
  <si>
    <t xml:space="preserve">NDIA-managed → Olivia Grant (Plan Manager / Finance workflow); Plan-managed → Olivia Grant (Plan Manager; external plan-manager communication through Olivia); Self-managed → Jamal Ortiz (Admin intake), then authorized owner for any agreement/price decision; Unknown/TBC → Rhonda Blake (Operations) until management type is confirmed. These are fictional Wattlebird rules only.</t>
  </si>
  <si>
    <t xml:space="preserve">Routine handover channel (fictional)</t>
  </si>
  <si>
    <t xml:space="preserve">Email to Rhonda Blake / the next responsible contact. Use Wattlebird Urgent Chat for urgent handoffs.</t>
  </si>
  <si>
    <t xml:space="preserve">Participants (fictional)</t>
  </si>
  <si>
    <t xml:space="preserve">12 invented participants. Remaining funds are invented and approximate (all budgets combined).</t>
  </si>
  <si>
    <t xml:space="preserve">ID</t>
  </si>
  <si>
    <t xml:space="preserve">Name</t>
  </si>
  <si>
    <t xml:space="preserve">Site</t>
  </si>
  <si>
    <t xml:space="preserve">Plan management</t>
  </si>
  <si>
    <t xml:space="preserve">Main supports</t>
  </si>
  <si>
    <t xml:space="preserve">Funded budgets</t>
  </si>
  <si>
    <t xml:space="preserve">Plan review date</t>
  </si>
  <si>
    <t xml:space="preserve">Service agreement</t>
  </si>
  <si>
    <t xml:space="preserve">Approx. remaining funds (AUD)</t>
  </si>
  <si>
    <t xml:space="preserve">P01</t>
  </si>
  <si>
    <t xml:space="preserve">Marisol Reyes</t>
  </si>
  <si>
    <t xml:space="preserve">Melbourne</t>
  </si>
  <si>
    <t xml:space="preserve">Plan-managed</t>
  </si>
  <si>
    <t xml:space="preserve">Community access; physiotherapy</t>
  </si>
  <si>
    <t xml:space="preserve">Core; Capacity Building</t>
  </si>
  <si>
    <t xml:space="preserve">Signed</t>
  </si>
  <si>
    <t xml:space="preserve">P02</t>
  </si>
  <si>
    <t xml:space="preserve">Daniel Whitfield</t>
  </si>
  <si>
    <t xml:space="preserve">Self-managed</t>
  </si>
  <si>
    <t xml:space="preserve">Daily living support</t>
  </si>
  <si>
    <t xml:space="preserve">Core</t>
  </si>
  <si>
    <t xml:space="preserve">P03</t>
  </si>
  <si>
    <t xml:space="preserve">Aisha Rahman</t>
  </si>
  <si>
    <t xml:space="preserve">NDIA-managed</t>
  </si>
  <si>
    <t xml:space="preserve">Support coordination</t>
  </si>
  <si>
    <t xml:space="preserve">Capacity Building; Core</t>
  </si>
  <si>
    <t xml:space="preserve">P04</t>
  </si>
  <si>
    <t xml:space="preserve">Tom Nguyen</t>
  </si>
  <si>
    <t xml:space="preserve">Daily living; occupational therapy</t>
  </si>
  <si>
    <t xml:space="preserve">P05</t>
  </si>
  <si>
    <t xml:space="preserve">Priya Nair</t>
  </si>
  <si>
    <t xml:space="preserve">Community participation</t>
  </si>
  <si>
    <t xml:space="preserve">P06</t>
  </si>
  <si>
    <t xml:space="preserve">Jack O'Connor</t>
  </si>
  <si>
    <t xml:space="preserve">Daily living</t>
  </si>
  <si>
    <t xml:space="preserve">P07</t>
  </si>
  <si>
    <t xml:space="preserve">Lucia Fernandez</t>
  </si>
  <si>
    <t xml:space="preserve">Allied health (psychology)</t>
  </si>
  <si>
    <t xml:space="preserve">Capacity Building</t>
  </si>
  <si>
    <t xml:space="preserve">Due for renewal</t>
  </si>
  <si>
    <t xml:space="preserve">P08</t>
  </si>
  <si>
    <t xml:space="preserve">Ben Taylor</t>
  </si>
  <si>
    <t xml:space="preserve">Gold Coast</t>
  </si>
  <si>
    <t xml:space="preserve">Community access</t>
  </si>
  <si>
    <t xml:space="preserve">P09</t>
  </si>
  <si>
    <t xml:space="preserve">Grace Mitchell</t>
  </si>
  <si>
    <t xml:space="preserve">To be confirmed</t>
  </si>
  <si>
    <t xml:space="preserve">Not started</t>
  </si>
  <si>
    <t xml:space="preserve">P10</t>
  </si>
  <si>
    <t xml:space="preserve">Samuel Osei</t>
  </si>
  <si>
    <t xml:space="preserve">P11</t>
  </si>
  <si>
    <t xml:space="preserve">Hannah Kowalski</t>
  </si>
  <si>
    <t xml:space="preserve">P12</t>
  </si>
  <si>
    <t xml:space="preserve">Ravi Patel</t>
  </si>
  <si>
    <t xml:space="preserve">Allied health (physiotherapy); daily living</t>
  </si>
  <si>
    <t xml:space="preserve">Staff (fictional)</t>
  </si>
  <si>
    <t xml:space="preserve">Screening reminder and rostered hours are calculated. Reminder window is set on Start_Here. Only authorised staff manage the real screening database.</t>
  </si>
  <si>
    <t xml:space="preserve">Role</t>
  </si>
  <si>
    <t xml:space="preserve">Role type</t>
  </si>
  <si>
    <t xml:space="preserve">Employment</t>
  </si>
  <si>
    <t xml:space="preserve">Usual availability</t>
  </si>
  <si>
    <t xml:space="preserve">Unavailable from</t>
  </si>
  <si>
    <t xml:space="preserve">Unavailable to</t>
  </si>
  <si>
    <t xml:space="preserve">Screening check expiry</t>
  </si>
  <si>
    <t xml:space="preserve">Screening reminder</t>
  </si>
  <si>
    <t xml:space="preserve">Rostered hours this week</t>
  </si>
  <si>
    <t xml:space="preserve">Notes</t>
  </si>
  <si>
    <t xml:space="preserve">S01</t>
  </si>
  <si>
    <t xml:space="preserve">Callum Reid</t>
  </si>
  <si>
    <t xml:space="preserve">Director</t>
  </si>
  <si>
    <t xml:space="preserve">Non-direct</t>
  </si>
  <si>
    <t xml:space="preserve">Full-time</t>
  </si>
  <si>
    <t xml:space="preserve">Mon-Fri</t>
  </si>
  <si>
    <t xml:space="preserve">S02</t>
  </si>
  <si>
    <t xml:space="preserve">Rhonda Blake</t>
  </si>
  <si>
    <t xml:space="preserve">Operations manager</t>
  </si>
  <si>
    <t xml:space="preserve">Learner's manager</t>
  </si>
  <si>
    <t xml:space="preserve">S03</t>
  </si>
  <si>
    <t xml:space="preserve">Tessa Nguyen</t>
  </si>
  <si>
    <t xml:space="preserve">Support coordinator</t>
  </si>
  <si>
    <t xml:space="preserve">S04</t>
  </si>
  <si>
    <t xml:space="preserve">Marcus Feld</t>
  </si>
  <si>
    <t xml:space="preserve">Part-time</t>
  </si>
  <si>
    <t xml:space="preserve">Mon-Thu</t>
  </si>
  <si>
    <t xml:space="preserve">S05</t>
  </si>
  <si>
    <t xml:space="preserve">Olivia Grant</t>
  </si>
  <si>
    <t xml:space="preserve">Plan manager</t>
  </si>
  <si>
    <t xml:space="preserve">S06</t>
  </si>
  <si>
    <t xml:space="preserve">Jamal Ortiz</t>
  </si>
  <si>
    <t xml:space="preserve">Admin officer</t>
  </si>
  <si>
    <t xml:space="preserve">W01</t>
  </si>
  <si>
    <t xml:space="preserve">Joy Villanueva</t>
  </si>
  <si>
    <t xml:space="preserve">Support worker</t>
  </si>
  <si>
    <t xml:space="preserve">Direct support</t>
  </si>
  <si>
    <t xml:space="preserve">Mon, Tue, Thu, Fri</t>
  </si>
  <si>
    <t xml:space="preserve">W02</t>
  </si>
  <si>
    <t xml:space="preserve">Ethan Clarke</t>
  </si>
  <si>
    <t xml:space="preserve">Casual</t>
  </si>
  <si>
    <t xml:space="preserve">Wed-Sun</t>
  </si>
  <si>
    <t xml:space="preserve">W03</t>
  </si>
  <si>
    <t xml:space="preserve">Sophie Lam</t>
  </si>
  <si>
    <t xml:space="preserve">W04</t>
  </si>
  <si>
    <t xml:space="preserve">Rico Santos</t>
  </si>
  <si>
    <t xml:space="preserve">Mon-Sat</t>
  </si>
  <si>
    <t xml:space="preserve">W05</t>
  </si>
  <si>
    <t xml:space="preserve">Amelia Fraser</t>
  </si>
  <si>
    <t xml:space="preserve">Approved leave</t>
  </si>
  <si>
    <t xml:space="preserve">W06</t>
  </si>
  <si>
    <t xml:space="preserve">Kwame Mensah</t>
  </si>
  <si>
    <t xml:space="preserve">Tue-Sat</t>
  </si>
  <si>
    <t xml:space="preserve">W07</t>
  </si>
  <si>
    <t xml:space="preserve">Isla Barrett</t>
  </si>
  <si>
    <t xml:space="preserve">W08</t>
  </si>
  <si>
    <t xml:space="preserve">Noah Kelly</t>
  </si>
  <si>
    <t xml:space="preserve">W09</t>
  </si>
  <si>
    <t xml:space="preserve">Mei Tanaka</t>
  </si>
  <si>
    <t xml:space="preserve">Sat-Sun</t>
  </si>
  <si>
    <t xml:space="preserve">W10</t>
  </si>
  <si>
    <t xml:space="preserve">Liam Doyle</t>
  </si>
  <si>
    <t xml:space="preserve">W11</t>
  </si>
  <si>
    <t xml:space="preserve">Farah Hussein</t>
  </si>
  <si>
    <t xml:space="preserve">W12</t>
  </si>
  <si>
    <t xml:space="preserve">George Papadakis</t>
  </si>
  <si>
    <t xml:space="preserve">Tue, Sun</t>
  </si>
  <si>
    <t xml:space="preserve">A01</t>
  </si>
  <si>
    <t xml:space="preserve">Naomi Cheung</t>
  </si>
  <si>
    <t xml:space="preserve">Occupational therapist (contractor)</t>
  </si>
  <si>
    <t xml:space="preserve">Allied health</t>
  </si>
  <si>
    <t xml:space="preserve">Contractor</t>
  </si>
  <si>
    <t xml:space="preserve">Tue, Thu</t>
  </si>
  <si>
    <t xml:space="preserve">Confirm any screening requirement with the manager</t>
  </si>
  <si>
    <t xml:space="preserve">A02</t>
  </si>
  <si>
    <t xml:space="preserve">Peter Lindqvist</t>
  </si>
  <si>
    <t xml:space="preserve">Physiotherapist (contractor)</t>
  </si>
  <si>
    <t xml:space="preserve">Mon, Wed</t>
  </si>
  <si>
    <t xml:space="preserve">A03</t>
  </si>
  <si>
    <t xml:space="preserve">Dana Okafor</t>
  </si>
  <si>
    <t xml:space="preserve">Psychologist (contractor)</t>
  </si>
  <si>
    <t xml:space="preserve">Tue, Fri</t>
  </si>
  <si>
    <t xml:space="preserve">W13</t>
  </si>
  <si>
    <t xml:space="preserve">Ava McKenzie</t>
  </si>
  <si>
    <t xml:space="preserve">M15 capstone candidate; fictional assessment record.</t>
  </si>
  <si>
    <t xml:space="preserve">Practice week roster (Mon 2 to Sun 8 Nov 2026)</t>
  </si>
  <si>
    <t xml:space="preserve">Times are local to the site. Look for problems, then note them in the yellow column. Names and hours are looked up for you.</t>
  </si>
  <si>
    <t xml:space="preserve">Shift ID</t>
  </si>
  <si>
    <t xml:space="preserve">Date</t>
  </si>
  <si>
    <t xml:space="preserve">Day</t>
  </si>
  <si>
    <t xml:space="preserve">Start</t>
  </si>
  <si>
    <t xml:space="preserve">End</t>
  </si>
  <si>
    <t xml:space="preserve">Hours</t>
  </si>
  <si>
    <t xml:space="preserve">Participant ID</t>
  </si>
  <si>
    <t xml:space="preserve">Participant name</t>
  </si>
  <si>
    <t xml:space="preserve">Support type</t>
  </si>
  <si>
    <t xml:space="preserve">Worker ID</t>
  </si>
  <si>
    <t xml:space="preserve">Worker name</t>
  </si>
  <si>
    <t xml:space="preserve">Status</t>
  </si>
  <si>
    <t xml:space="preserve">Time zone entered</t>
  </si>
  <si>
    <t xml:space="preserve">Your notes</t>
  </si>
  <si>
    <t xml:space="preserve">R01</t>
  </si>
  <si>
    <t xml:space="preserve">Confirmed</t>
  </si>
  <si>
    <t xml:space="preserve">AEDT</t>
  </si>
  <si>
    <t xml:space="preserve">R02</t>
  </si>
  <si>
    <t xml:space="preserve">R03</t>
  </si>
  <si>
    <t xml:space="preserve">R04</t>
  </si>
  <si>
    <t xml:space="preserve">R05</t>
  </si>
  <si>
    <t xml:space="preserve">R06</t>
  </si>
  <si>
    <t xml:space="preserve">R07</t>
  </si>
  <si>
    <t xml:space="preserve">AEST</t>
  </si>
  <si>
    <t xml:space="preserve">R08</t>
  </si>
  <si>
    <t xml:space="preserve">R09</t>
  </si>
  <si>
    <t xml:space="preserve">R10</t>
  </si>
  <si>
    <t xml:space="preserve">Physiotherapy</t>
  </si>
  <si>
    <t xml:space="preserve">R11</t>
  </si>
  <si>
    <t xml:space="preserve">R12</t>
  </si>
  <si>
    <t xml:space="preserve">Unfilled</t>
  </si>
  <si>
    <t xml:space="preserve">R13</t>
  </si>
  <si>
    <t xml:space="preserve">Occupational therapy</t>
  </si>
  <si>
    <t xml:space="preserve">R14</t>
  </si>
  <si>
    <t xml:space="preserve">R15</t>
  </si>
  <si>
    <t xml:space="preserve">R16</t>
  </si>
  <si>
    <t xml:space="preserve">Cancelled</t>
  </si>
  <si>
    <t xml:space="preserve">Participant cancelled at 8:30 am the same day</t>
  </si>
  <si>
    <t xml:space="preserve">R17</t>
  </si>
  <si>
    <t xml:space="preserve">R18</t>
  </si>
  <si>
    <t xml:space="preserve">R19</t>
  </si>
  <si>
    <t xml:space="preserve">Psychology</t>
  </si>
  <si>
    <t xml:space="preserve">R20</t>
  </si>
  <si>
    <t xml:space="preserve">R21</t>
  </si>
  <si>
    <t xml:space="preserve">R22</t>
  </si>
  <si>
    <t xml:space="preserve">R23</t>
  </si>
  <si>
    <t xml:space="preserve">R24</t>
  </si>
  <si>
    <t xml:space="preserve">R25</t>
  </si>
  <si>
    <t xml:space="preserve">Price table (FICTIONAL, invented prices)</t>
  </si>
  <si>
    <t xml:space="preserve">These prices and codes are invented for practice. They are NOT real NDIS prices or item numbers. Real pricing changes, so learn where to check it (Module 8).</t>
  </si>
  <si>
    <t xml:space="preserve">Item code</t>
  </si>
  <si>
    <t xml:space="preserve">Description</t>
  </si>
  <si>
    <t xml:space="preserve">Support budget</t>
  </si>
  <si>
    <t xml:space="preserve">Category (fictional label)</t>
  </si>
  <si>
    <t xml:space="preserve">Unit</t>
  </si>
  <si>
    <t xml:space="preserve">Price limit (AUD, fictional)</t>
  </si>
  <si>
    <t xml:space="preserve">Effective from</t>
  </si>
  <si>
    <t xml:space="preserve">FX-DL-WD</t>
  </si>
  <si>
    <t xml:space="preserve">Daily living support - weekday daytime</t>
  </si>
  <si>
    <t xml:space="preserve">Daily life</t>
  </si>
  <si>
    <t xml:space="preserve">hour</t>
  </si>
  <si>
    <t xml:space="preserve">FX-DL-WE</t>
  </si>
  <si>
    <t xml:space="preserve">Daily living support - weekday evening</t>
  </si>
  <si>
    <t xml:space="preserve">FX-DL-SA</t>
  </si>
  <si>
    <t xml:space="preserve">Daily living support - Saturday</t>
  </si>
  <si>
    <t xml:space="preserve">FX-DL-SU</t>
  </si>
  <si>
    <t xml:space="preserve">Daily living support - Sunday</t>
  </si>
  <si>
    <t xml:space="preserve">FX-DL-PH</t>
  </si>
  <si>
    <t xml:space="preserve">Daily living support - public holiday</t>
  </si>
  <si>
    <t xml:space="preserve">FX-CA-WD</t>
  </si>
  <si>
    <t xml:space="preserve">Community access - weekday daytime</t>
  </si>
  <si>
    <t xml:space="preserve">Community</t>
  </si>
  <si>
    <t xml:space="preserve">FX-CA-SA</t>
  </si>
  <si>
    <t xml:space="preserve">Community access - Saturday</t>
  </si>
  <si>
    <t xml:space="preserve">FX-SC-01</t>
  </si>
  <si>
    <t xml:space="preserve">Support coordination - standard</t>
  </si>
  <si>
    <t xml:space="preserve">Coordination</t>
  </si>
  <si>
    <t xml:space="preserve">FX-PM-SU</t>
  </si>
  <si>
    <t xml:space="preserve">Plan management - set-up</t>
  </si>
  <si>
    <t xml:space="preserve">each</t>
  </si>
  <si>
    <t xml:space="preserve">FX-PM-MO</t>
  </si>
  <si>
    <t xml:space="preserve">Plan management - monthly</t>
  </si>
  <si>
    <t xml:space="preserve">month</t>
  </si>
  <si>
    <t xml:space="preserve">FX-OT-01</t>
  </si>
  <si>
    <t xml:space="preserve">Occupational therapy - standard session</t>
  </si>
  <si>
    <t xml:space="preserve">Therapy</t>
  </si>
  <si>
    <t xml:space="preserve">FX-PT-01</t>
  </si>
  <si>
    <t xml:space="preserve">Physiotherapy - standard session</t>
  </si>
  <si>
    <t xml:space="preserve">FX-PS-01</t>
  </si>
  <si>
    <t xml:space="preserve">Psychology - standard session</t>
  </si>
  <si>
    <t xml:space="preserve">FX-TR-KM</t>
  </si>
  <si>
    <t xml:space="preserve">Provider travel - per kilometre</t>
  </si>
  <si>
    <t xml:space="preserve">Travel</t>
  </si>
  <si>
    <t xml:space="preserve">km</t>
  </si>
  <si>
    <t xml:space="preserve">Yellow rows: add new price versions here (see the pricing update email). Keep old prices for older dates.</t>
  </si>
  <si>
    <t xml:space="preserve">Invoice batch to check (fictional)</t>
  </si>
  <si>
    <t xml:space="preserve">Learner task: check identity/onboarding, date/day type, item, qty, fictional rate/reference, management type, duplicates, service-delivery evidence and route-to. Then classify and explain.</t>
  </si>
  <si>
    <t xml:space="preserve">Decide: OK, Flag, Ask, or Escalate. Do not independently approve/reject/submit/dispute.</t>
  </si>
  <si>
    <t xml:space="preserve">Invoice #</t>
  </si>
  <si>
    <t xml:space="preserve">Service date</t>
  </si>
  <si>
    <t xml:space="preserve">Item description</t>
  </si>
  <si>
    <t xml:space="preserve">Qty</t>
  </si>
  <si>
    <t xml:space="preserve">Rate charged</t>
  </si>
  <si>
    <t xml:space="preserve">Price limit (fictional)</t>
  </si>
  <si>
    <t xml:space="preserve">Line total</t>
  </si>
  <si>
    <t xml:space="preserve">Your check</t>
  </si>
  <si>
    <t xml:space="preserve">Your note</t>
  </si>
  <si>
    <t xml:space="preserve">INV-1001</t>
  </si>
  <si>
    <t xml:space="preserve">INV-1002</t>
  </si>
  <si>
    <t xml:space="preserve">INV-1003</t>
  </si>
  <si>
    <t xml:space="preserve">INV-1004</t>
  </si>
  <si>
    <t xml:space="preserve">INV-1005</t>
  </si>
  <si>
    <t xml:space="preserve">INV-1006</t>
  </si>
  <si>
    <t xml:space="preserve">INV-1007</t>
  </si>
  <si>
    <t xml:space="preserve">INV-1008</t>
  </si>
  <si>
    <t xml:space="preserve">INV-1009</t>
  </si>
  <si>
    <t xml:space="preserve">INV-1010</t>
  </si>
  <si>
    <t xml:space="preserve">INV-1011</t>
  </si>
  <si>
    <t xml:space="preserve">INV-1012</t>
  </si>
  <si>
    <t xml:space="preserve">INV-1013</t>
  </si>
  <si>
    <t xml:space="preserve">INV-1014</t>
  </si>
  <si>
    <t xml:space="preserve">INV-1015</t>
  </si>
  <si>
    <t xml:space="preserve">P99</t>
  </si>
  <si>
    <t xml:space="preserve">INV-1016</t>
  </si>
  <si>
    <t xml:space="preserve">INV-1017</t>
  </si>
  <si>
    <t xml:space="preserve">INV-1018</t>
  </si>
  <si>
    <t xml:space="preserve">INV-1019</t>
  </si>
  <si>
    <t xml:space="preserve">FX-XX-99</t>
  </si>
  <si>
    <t xml:space="preserve">INV-1020</t>
  </si>
  <si>
    <t xml:space="preserve">Batch total</t>
  </si>
  <si>
    <t xml:space="preserve">Number of lines</t>
  </si>
  <si>
    <t xml:space="preserve">Shared inbox (fictional): the practice week</t>
  </si>
  <si>
    <t xml:space="preserve">Times are Melbourne time. Work through the emails in order. Decide what you can do yourself and what you must pass on.</t>
  </si>
  <si>
    <t xml:space="preserve">Received (Melbourne time)</t>
  </si>
  <si>
    <t xml:space="preserve">From</t>
  </si>
  <si>
    <t xml:space="preserve">Subject</t>
  </si>
  <si>
    <t xml:space="preserve">Message</t>
  </si>
  <si>
    <t xml:space="preserve">Your priority</t>
  </si>
  <si>
    <t xml:space="preserve">What you will do</t>
  </si>
  <si>
    <t xml:space="preserve">Who you will escalate to (if anyone)</t>
  </si>
  <si>
    <t xml:space="preserve">Done?</t>
  </si>
  <si>
    <t xml:space="preserve">E01</t>
  </si>
  <si>
    <t xml:space="preserve">Mon 2 Nov, 7:15 am</t>
  </si>
  <si>
    <t xml:space="preserve">Joy Villanueva (support worker)</t>
  </si>
  <si>
    <t xml:space="preserve">Can't work today</t>
  </si>
  <si>
    <t xml:space="preserve">Hi, I woke up unwell and can't do my 10 am shift with Marisol today. Sorry for the late notice. Can someone cover?</t>
  </si>
  <si>
    <t xml:space="preserve">E02</t>
  </si>
  <si>
    <t xml:space="preserve">Mon 2 Nov, 8:40 am</t>
  </si>
  <si>
    <t xml:space="preserve">Sophie Lam (support worker)</t>
  </si>
  <si>
    <t xml:space="preserve">Two shifts at once?</t>
  </si>
  <si>
    <t xml:space="preserve">Hi, my roster shows Tom from 9 to 1 and Jack from 12 to 4 today. I can't be in two places. Which one should I do?</t>
  </si>
  <si>
    <t xml:space="preserve">E03</t>
  </si>
  <si>
    <t xml:space="preserve">Mon 2 Nov, 9:05 am</t>
  </si>
  <si>
    <t xml:space="preserve">Anna Mitchell (parent of a referral)</t>
  </si>
  <si>
    <t xml:space="preserve">Referral for my daughter</t>
  </si>
  <si>
    <t xml:space="preserve">Hello, my daughter Grace was recently approved for the NDIS. Do you have space for community access support, and what does the NDIS cover? Thanks.</t>
  </si>
  <si>
    <t xml:space="preserve">E04</t>
  </si>
  <si>
    <t xml:space="preserve">Mon 2 Nov, 9:30 am</t>
  </si>
  <si>
    <t xml:space="preserve">Rhonda Blake (operations manager)</t>
  </si>
  <si>
    <t xml:space="preserve">Screening checks this week</t>
  </si>
  <si>
    <t xml:space="preserve">Please list any workers whose screening check has expired or expires soon. I need the names, the dates, and which shifts they are rostered for this week.</t>
  </si>
  <si>
    <t xml:space="preserve">E05</t>
  </si>
  <si>
    <t xml:space="preserve">Mon 2 Nov, 10:10 am</t>
  </si>
  <si>
    <t xml:space="preserve">Olivia Grant (plan manager)</t>
  </si>
  <si>
    <t xml:space="preserve">Invoice batch to check</t>
  </si>
  <si>
    <t xml:space="preserve">Before I approve the batch, please check it and list anything that looks wrong or that you're unsure about. It's on the Invoice_Batch tab.</t>
  </si>
  <si>
    <t xml:space="preserve">E06</t>
  </si>
  <si>
    <t xml:space="preserve">Mon 2 Nov, 11:00 am</t>
  </si>
  <si>
    <t xml:space="preserve">Kim Anders (external plan manager for Tom)</t>
  </si>
  <si>
    <t xml:space="preserve">Invoice INV-1008</t>
  </si>
  <si>
    <t xml:space="preserve">Hi, invoice INV-1008 for Tom's OT session looks higher than the limit for that item. Can you confirm the rate?</t>
  </si>
  <si>
    <t xml:space="preserve">E07</t>
  </si>
  <si>
    <t xml:space="preserve">Mon 2 Nov, 12:20 pm</t>
  </si>
  <si>
    <t xml:space="preserve">Jamal Ortiz (admin officer)</t>
  </si>
  <si>
    <t xml:space="preserve">Oops, wrong email</t>
  </si>
  <si>
    <t xml:space="preserve">I think I sent Marisol's roster to Priya's email address by mistake about ten minutes ago. What should I do?</t>
  </si>
  <si>
    <t xml:space="preserve">E08</t>
  </si>
  <si>
    <t xml:space="preserve">Mon 2 Nov, 1:45 pm</t>
  </si>
  <si>
    <t xml:space="preserve">Callum Reid (director)</t>
  </si>
  <si>
    <t xml:space="preserve">Post for our page</t>
  </si>
  <si>
    <t xml:space="preserve">Can you draft a short, friendly post about our new Saturday community group? Please don't include any participant names or photos.</t>
  </si>
  <si>
    <t xml:space="preserve">E09</t>
  </si>
  <si>
    <t xml:space="preserve">Tue 3 Nov, 7:50 am</t>
  </si>
  <si>
    <t xml:space="preserve">Ben Taylor (participant)</t>
  </si>
  <si>
    <t xml:space="preserve">Is today's support on?</t>
  </si>
  <si>
    <t xml:space="preserve">Is my 9 am support today still on? My cousin in Melbourne says today is a public holiday.</t>
  </si>
  <si>
    <t xml:space="preserve">E10</t>
  </si>
  <si>
    <t xml:space="preserve">Tue 3 Nov, 9:15 am</t>
  </si>
  <si>
    <t xml:space="preserve">Priya Nair (participant)</t>
  </si>
  <si>
    <t xml:space="preserve">Copies of my records</t>
  </si>
  <si>
    <t xml:space="preserve">Hi, I'd like a copy of all the information Wattlebird holds about me. Can you send it to me by Friday?</t>
  </si>
  <si>
    <t xml:space="preserve">E11</t>
  </si>
  <si>
    <t xml:space="preserve">Tue 3 Nov, 10:30 am</t>
  </si>
  <si>
    <t xml:space="preserve">Daniel Whitfield (participant)</t>
  </si>
  <si>
    <t xml:space="preserve">Receipts</t>
  </si>
  <si>
    <t xml:space="preserve">I manage my own plan. Where do I send your invoices, and what should I keep so I can claim?</t>
  </si>
  <si>
    <t xml:space="preserve">E12</t>
  </si>
  <si>
    <t xml:space="preserve">Tue 3 Nov, 2:00 pm</t>
  </si>
  <si>
    <t xml:space="preserve">Pricing update</t>
  </si>
  <si>
    <t xml:space="preserve">A pricing update has been announced (fictional). From Monday 9 Nov, the limit for FX-DL-WD becomes $62.00 and FX-CA-WD becomes $64.00. Please update our price table and keep the old prices for older dates.</t>
  </si>
  <si>
    <t xml:space="preserve">E13</t>
  </si>
  <si>
    <t xml:space="preserve">Tue 3 Nov, 4:10 pm</t>
  </si>
  <si>
    <t xml:space="preserve">Noah Kelly (support worker)</t>
  </si>
  <si>
    <t xml:space="preserve">Screening renewal</t>
  </si>
  <si>
    <t xml:space="preserve">Hi, my screening renewal is still being processed. I'm rostered for Wednesday with Ben. Is that still okay?</t>
  </si>
  <si>
    <t xml:space="preserve">E14</t>
  </si>
  <si>
    <t xml:space="preserve">Wed 4 Nov, 8:20 am</t>
  </si>
  <si>
    <t xml:space="preserve">Isla Barrett (support worker)</t>
  </si>
  <si>
    <t xml:space="preserve">Time for Saturday</t>
  </si>
  <si>
    <t xml:space="preserve">The roster says Saturday 9 am AEDT for Ben. I'm on the Gold Coast. What time do I actually start?</t>
  </si>
  <si>
    <t xml:space="preserve">E15</t>
  </si>
  <si>
    <t xml:space="preserve">Wed 4 Nov, 11:45 am</t>
  </si>
  <si>
    <t xml:space="preserve">Samuel Osei (participant)</t>
  </si>
  <si>
    <t xml:space="preserve">I'm not happy</t>
  </si>
  <si>
    <t xml:space="preserve">My worker arrived 45 minutes late three times this month and nobody told me. This is not okay. Please fix it.</t>
  </si>
  <si>
    <t xml:space="preserve">E16</t>
  </si>
  <si>
    <t xml:space="preserve">Wed 4 Nov, 3:00 pm</t>
  </si>
  <si>
    <t xml:space="preserve">Cover needed Thursday</t>
  </si>
  <si>
    <t xml:space="preserve">Jack's Thursday 1 to 5 pm shift has no worker. Please check availability and suggest two options for me to choose from.</t>
  </si>
  <si>
    <t xml:space="preserve">E17</t>
  </si>
  <si>
    <t xml:space="preserve">Thu 5 Nov, 9:00 am</t>
  </si>
  <si>
    <t xml:space="preserve">Tessa Nguyen (support coordinator)</t>
  </si>
  <si>
    <t xml:space="preserve">Aisha's plan review</t>
  </si>
  <si>
    <t xml:space="preserve">Aisha's plan review is coming up. Please put a reminder in the calendar and gather a summary of the services we provided this year.</t>
  </si>
  <si>
    <t xml:space="preserve">E18</t>
  </si>
  <si>
    <t xml:space="preserve">Thu 5 Nov, 10:20 am</t>
  </si>
  <si>
    <t xml:space="preserve">Ravi Patel (participant)</t>
  </si>
  <si>
    <t xml:space="preserve">Can I still book physio?</t>
  </si>
  <si>
    <t xml:space="preserve">I think my funds are nearly used up. Can I still book my physio sessions next week? What should I do?</t>
  </si>
  <si>
    <t xml:space="preserve">E19</t>
  </si>
  <si>
    <t xml:space="preserve">Thu 5 Nov, 1:10 pm</t>
  </si>
  <si>
    <t xml:space="preserve">Lucia's agreement</t>
  </si>
  <si>
    <t xml:space="preserve">Lucia's service agreement is due for renewal. Please prepare a draft for me to review, using the template.</t>
  </si>
  <si>
    <t xml:space="preserve">E20</t>
  </si>
  <si>
    <t xml:space="preserve">Fri 6 Nov, 8:30 am</t>
  </si>
  <si>
    <t xml:space="preserve">Tom Nguyen (participant)</t>
  </si>
  <si>
    <t xml:space="preserve">Can't do today</t>
  </si>
  <si>
    <t xml:space="preserve">Sorry, I'm unwell and can't do my 10 am session today.</t>
  </si>
  <si>
    <t xml:space="preserve">E21</t>
  </si>
  <si>
    <t xml:space="preserve">Fri 6 Nov, 11:00 am</t>
  </si>
  <si>
    <t xml:space="preserve">Website update</t>
  </si>
  <si>
    <t xml:space="preserve">Please update the Contact page: Melbourne office open Mon to Fri, 8:30 am to 5:00 pm Melbourne time; Gold Coast office open Mon to Thu, 9:00 am to 4:00 pm Gold Coast time.</t>
  </si>
  <si>
    <t xml:space="preserve">E22</t>
  </si>
  <si>
    <t xml:space="preserve">Fri 6 Nov, 3:30 pm</t>
  </si>
  <si>
    <t xml:space="preserve">Liam O'Connor (Jack's brother)</t>
  </si>
  <si>
    <t xml:space="preserve">Jack's details</t>
  </si>
  <si>
    <t xml:space="preserve">Hi, I'm Jack's brother. Can you send me Jack's plan details and his roster for next week?</t>
  </si>
  <si>
    <t xml:space="preserve">E23</t>
  </si>
  <si>
    <t xml:space="preserve">Sat 7 Nov, 2:15 pm</t>
  </si>
  <si>
    <t xml:space="preserve">Farah Hussein (support worker)</t>
  </si>
  <si>
    <t xml:space="preserve">Hannah had a fall</t>
  </si>
  <si>
    <t xml:space="preserve">Hannah slipped in the kitchen during my shift this morning and hit her head. I called an ambulance and I'm at the hospital with her now. I'm not sure what else to do.</t>
  </si>
  <si>
    <t xml:space="preserve">E24</t>
  </si>
  <si>
    <t xml:space="preserve">Sun 8 Nov, 6:30 pm</t>
  </si>
  <si>
    <t xml:space="preserve">Audit next month</t>
  </si>
  <si>
    <t xml:space="preserve">An audit is coming next month. Please tidy the incident and complaint logs and list any gaps by Wednesday.</t>
  </si>
  <si>
    <t xml:space="preserve">My task board</t>
  </si>
  <si>
    <t xml:space="preserve">One row per task. The grey row is an example.</t>
  </si>
  <si>
    <t xml:space="preserve">Task</t>
  </si>
  <si>
    <t xml:space="preserve">Related email ID</t>
  </si>
  <si>
    <t xml:space="preserve">Owner</t>
  </si>
  <si>
    <t xml:space="preserve">Due</t>
  </si>
  <si>
    <t xml:space="preserve">Ask Rhonda who covers Monday's 10 am shift</t>
  </si>
  <si>
    <t xml:space="preserve">Me</t>
  </si>
  <si>
    <t xml:space="preserve">To do</t>
  </si>
  <si>
    <t xml:space="preserve">Joy is unwell. Suggest two possible cover options.</t>
  </si>
  <si>
    <t xml:space="preserve">Incident log (fictional)</t>
  </si>
  <si>
    <t xml:space="preserve">Record only what was reported, in plain facts. You do NOT decide whether an incident is reportable. The manager fills in that column. The grey row is an example.</t>
  </si>
  <si>
    <t xml:space="preserve">Log ID</t>
  </si>
  <si>
    <t xml:space="preserve">Date and time of incident</t>
  </si>
  <si>
    <t xml:space="preserve">What was reported (facts only)</t>
  </si>
  <si>
    <t xml:space="preserve">Type, as described by the reporter</t>
  </si>
  <si>
    <t xml:space="preserve">Immediate actions, as reported</t>
  </si>
  <si>
    <t xml:space="preserve">Escalated to</t>
  </si>
  <si>
    <t xml:space="preserve">Date and time escalated</t>
  </si>
  <si>
    <t xml:space="preserve">Manager's decision (manager fills in)</t>
  </si>
  <si>
    <t xml:space="preserve">EX-001</t>
  </si>
  <si>
    <t xml:space="preserve">Tue 20 Oct 2026, 11:30 am</t>
  </si>
  <si>
    <t xml:space="preserve">Worker reported that a cup was dropped and broken in the kitchen. No one was hurt.</t>
  </si>
  <si>
    <t xml:space="preserve">Minor property damage</t>
  </si>
  <si>
    <t xml:space="preserve">Worker cleaned up the pieces safely.</t>
  </si>
  <si>
    <t xml:space="preserve">Tue 20 Oct 2026, 11:50 am</t>
  </si>
  <si>
    <t xml:space="preserve">Escalated</t>
  </si>
  <si>
    <t xml:space="preserve">Example only</t>
  </si>
  <si>
    <t xml:space="preserve">Complaints log (fictional)</t>
  </si>
  <si>
    <t xml:space="preserve">Record the complaint neutrally and pass it on. Don't judge whether it is justified. The grey row is an example.</t>
  </si>
  <si>
    <t xml:space="preserve">Date received</t>
  </si>
  <si>
    <t xml:space="preserve">How received</t>
  </si>
  <si>
    <t xml:space="preserve">Complainant</t>
  </si>
  <si>
    <t xml:space="preserve">Related participant ID</t>
  </si>
  <si>
    <t xml:space="preserve">Summary (neutral wording)</t>
  </si>
  <si>
    <t xml:space="preserve">Immediate action</t>
  </si>
  <si>
    <t xml:space="preserve">Date escalated</t>
  </si>
  <si>
    <t xml:space="preserve">Outcome (manager fills in)</t>
  </si>
  <si>
    <t xml:space="preserve">Email</t>
  </si>
  <si>
    <t xml:space="preserve">Participant (P05)</t>
  </si>
  <si>
    <t xml:space="preserve">Participant says the roster change was not communicated before the shift.</t>
  </si>
  <si>
    <t xml:space="preserve">Acknowledged receipt and passed to the manager.</t>
  </si>
  <si>
    <t xml:space="preserve">Follow-Up &amp; Handover Log</t>
  </si>
  <si>
    <t xml:space="preserve">Use for open practice work. Sending a message is not automatically closure.</t>
  </si>
  <si>
    <t xml:space="preserve">Task ID</t>
  </si>
  <si>
    <t xml:space="preserve">Related Item</t>
  </si>
  <si>
    <t xml:space="preserve">Outstanding Item</t>
  </si>
  <si>
    <t xml:space="preserve">Next Action</t>
  </si>
  <si>
    <t xml:space="preserve">Channel</t>
  </si>
  <si>
    <t xml:space="preserve">Follow-Up Date/Trigger</t>
  </si>
  <si>
    <t xml:space="preserve">Response/Outcome</t>
  </si>
  <si>
    <t xml:space="preserve">Closure Condition</t>
  </si>
  <si>
    <t xml:space="preserve">Learner Notes</t>
  </si>
  <si>
    <t xml:space="preserve">FU-001</t>
  </si>
  <si>
    <t xml:space="preserve">E16 / Roster</t>
  </si>
  <si>
    <t xml:space="preserve">Thursday 1:00–5:00 pm shift still needs a worker</t>
  </si>
  <si>
    <t xml:space="preserve">Review the two feasible cover options and confirm the preferred option</t>
  </si>
  <si>
    <t xml:space="preserve">Before the affected shift / earlier if the owner responds</t>
  </si>
  <si>
    <t xml:space="preserve">Owner decision is recorded and the roster is updated or formally handed off.</t>
  </si>
  <si>
    <t xml:space="preserve">Open</t>
  </si>
  <si>
    <t xml:space="preserve">Security &amp; Access Extensions</t>
  </si>
  <si>
    <t xml:space="preserve">Fictional practice scenarios for M12/M14. Real participant information belongs in provider-authorized workflows.</t>
  </si>
  <si>
    <t xml:space="preserve">Scenario ID</t>
  </si>
  <si>
    <t xml:space="preserve">Module</t>
  </si>
  <si>
    <t xml:space="preserve">Scenario</t>
  </si>
  <si>
    <t xml:space="preserve">Learner Task</t>
  </si>
  <si>
    <t xml:space="preserve">Your Classification</t>
  </si>
  <si>
    <t xml:space="preserve">Your Safe Action / Boundary</t>
  </si>
  <si>
    <t xml:space="preserve">Follow-Up / Closure</t>
  </si>
  <si>
    <t xml:space="preserve">SEC-01</t>
  </si>
  <si>
    <t xml:space="preserve">M12</t>
  </si>
  <si>
    <t xml:space="preserve">A staff member asks you to paste a participant's message into a free public AI tool.</t>
  </si>
  <si>
    <t xml:space="preserve">Write the safe response and state what you will do next.</t>
  </si>
  <si>
    <t xml:space="preserve">SEC-02</t>
  </si>
  <si>
    <t xml:space="preserve">A roster containing participant names is accidentally emailed to the wrong recipient.</t>
  </si>
  <si>
    <t xml:space="preserve">List immediate containment and handoff steps.</t>
  </si>
  <si>
    <t xml:space="preserve">SEC-03</t>
  </si>
  <si>
    <t xml:space="preserve">M14</t>
  </si>
  <si>
    <t xml:space="preserve">A fictional system asks you to use a supervisor's login because your account has not been created.</t>
  </si>
  <si>
    <t xml:space="preserve">State how you proceed.</t>
  </si>
  <si>
    <t xml:space="preserve">SEC-04</t>
  </si>
  <si>
    <t xml:space="preserve">A client asks you to download participant files to your personal Google Drive so you can work faster.</t>
  </si>
  <si>
    <t xml:space="preserve">Respond and identify the correct workflow.</t>
  </si>
  <si>
    <t xml:space="preserve">M6 — Wattlebird Fictional Participant Plan</t>
  </si>
  <si>
    <t xml:space="preserve">FICTIONAL TRAINING DOCUMENT — NOT AN NDIS PLAN. Values and labels are invented for practice.</t>
  </si>
  <si>
    <t xml:space="preserve">Field</t>
  </si>
  <si>
    <t xml:space="preserve">Value</t>
  </si>
  <si>
    <t xml:space="preserve">Practice Note</t>
  </si>
  <si>
    <t xml:space="preserve">Participant</t>
  </si>
  <si>
    <t xml:space="preserve">Liam Dawson (P13)</t>
  </si>
  <si>
    <t xml:space="preserve">Fictional participant created for M6 practice.</t>
  </si>
  <si>
    <t xml:space="preserve">Use site/time-zone information only for practice.</t>
  </si>
  <si>
    <t xml:space="preserve">Learner must identify management type before applying fictional pricing logic.</t>
  </si>
  <si>
    <t xml:space="preserve">Plan period</t>
  </si>
  <si>
    <t xml:space="preserve">01/10/2026–30/09/2027</t>
  </si>
  <si>
    <t xml:space="preserve">Fictional dates.</t>
  </si>
  <si>
    <t xml:space="preserve">Support budget 1</t>
  </si>
  <si>
    <t xml:space="preserve">Core Supports</t>
  </si>
  <si>
    <t xml:space="preserve">Fictional budget label.</t>
  </si>
  <si>
    <t xml:space="preserve">Core allocation</t>
  </si>
  <si>
    <t xml:space="preserve">AUD 18,000</t>
  </si>
  <si>
    <t xml:space="preserve">Fictional amount.</t>
  </si>
  <si>
    <t xml:space="preserve">Support budget 2</t>
  </si>
  <si>
    <t xml:space="preserve">Capacity Building Supports</t>
  </si>
  <si>
    <t xml:space="preserve">Capacity Building allocation</t>
  </si>
  <si>
    <t xml:space="preserve">AUD 9,500</t>
  </si>
  <si>
    <t xml:space="preserve">Capital Supports</t>
  </si>
  <si>
    <t xml:space="preserve">None in this practice plan</t>
  </si>
  <si>
    <t xml:space="preserve">Do not infer real eligibility.</t>
  </si>
  <si>
    <t xml:space="preserve">Recurring Supports</t>
  </si>
  <si>
    <t xml:space="preserve">Draft — manager review required</t>
  </si>
  <si>
    <t xml:space="preserve">VA may prepare/track; manager approves.</t>
  </si>
  <si>
    <t xml:space="preserve">Current task</t>
  </si>
  <si>
    <t xml:space="preserve">Match three sample support requests to fictional plan categories.</t>
  </si>
  <si>
    <t xml:space="preserve">Use this fictional plan only; real NDIS questions require current official verification.</t>
  </si>
  <si>
    <t xml:space="preserve">Fictional category breakdown</t>
  </si>
  <si>
    <t xml:space="preserve">Daily living; community participation</t>
  </si>
  <si>
    <t xml:space="preserve">Allied-health-related fictional administrative examples</t>
  </si>
  <si>
    <t xml:space="preserve">Sample support requests</t>
  </si>
  <si>
    <t xml:space="preserve">SR-01</t>
  </si>
  <si>
    <t xml:space="preserve">Weekly community access support</t>
  </si>
  <si>
    <t xml:space="preserve">Learner decides which fictional category is the closest administrative match.</t>
  </si>
  <si>
    <t xml:space="preserve">SR-02</t>
  </si>
  <si>
    <t xml:space="preserve">Physiotherapy appointment</t>
  </si>
  <si>
    <t xml:space="preserve">Learner checks whether the fictional plan context contains enough information; do not infer clinical funding.</t>
  </si>
  <si>
    <t xml:space="preserve">SR-03</t>
  </si>
  <si>
    <t xml:space="preserve">New support request with unclear category</t>
  </si>
  <si>
    <t xml:space="preserve">Learner identifies the ambiguity and writes a clarification question.</t>
  </si>
  <si>
    <t xml:space="preserve">M7 — Who Handles This?</t>
  </si>
  <si>
    <t xml:space="preserve">Ten fictional provider tickets. Identify owner, classification, next action, escalation path and follow-up.</t>
  </si>
  <si>
    <t xml:space="preserve">Ticket ID</t>
  </si>
  <si>
    <t xml:space="preserve">Incoming Request</t>
  </si>
  <si>
    <t xml:space="preserve">Your Next Action</t>
  </si>
  <si>
    <t xml:space="preserve">What Will You Ask?</t>
  </si>
  <si>
    <t xml:space="preserve">Who Needs the Handoff?</t>
  </si>
  <si>
    <t xml:space="preserve">Follow-Up Trigger</t>
  </si>
  <si>
    <t xml:space="preserve">T01</t>
  </si>
  <si>
    <t xml:space="preserve">Worker is sick and cannot cover today's participant shift.</t>
  </si>
  <si>
    <t xml:space="preserve">T02</t>
  </si>
  <si>
    <t xml:space="preserve">Two shifts appear to overlap for the same worker.</t>
  </si>
  <si>
    <t xml:space="preserve">T03</t>
  </si>
  <si>
    <t xml:space="preserve">Family asks what NDIS will fund for a new referral.</t>
  </si>
  <si>
    <t xml:space="preserve">T04</t>
  </si>
  <si>
    <t xml:space="preserve">Plan manager asks VA to check an invoice batch.</t>
  </si>
  <si>
    <t xml:space="preserve">T05</t>
  </si>
  <si>
    <t xml:space="preserve">Participant requests copies of all records.</t>
  </si>
  <si>
    <t xml:space="preserve">T06</t>
  </si>
  <si>
    <t xml:space="preserve">Participant complains about repeated late worker arrivals.</t>
  </si>
  <si>
    <t xml:space="preserve">T07</t>
  </si>
  <si>
    <t xml:space="preserve">Worker reports a participant injury during support.</t>
  </si>
  <si>
    <t xml:space="preserve">T08</t>
  </si>
  <si>
    <t xml:space="preserve">Service agreement is due for renewal.</t>
  </si>
  <si>
    <t xml:space="preserve">T09</t>
  </si>
  <si>
    <t xml:space="preserve">Worker screening status is expired or unclear.</t>
  </si>
  <si>
    <t xml:space="preserve">T10</t>
  </si>
  <si>
    <t xml:space="preserve">Participant asks whether there is enough funding for future therapy.</t>
  </si>
  <si>
    <t xml:space="preserve">M10 — Wattlebird Participant Onboarding Checklist</t>
  </si>
  <si>
    <t xml:space="preserve">FICTIONAL TRAINING TEMPLATE. VA prepares/tracks; authorized roles approve, negotiate, or decide.</t>
  </si>
  <si>
    <t xml:space="preserve">Checklist ID</t>
  </si>
  <si>
    <t xml:space="preserve">Onboarding Step</t>
  </si>
  <si>
    <t xml:space="preserve">Evidence / Field</t>
  </si>
  <si>
    <t xml:space="preserve">ONB-01</t>
  </si>
  <si>
    <t xml:space="preserve">Referral received</t>
  </si>
  <si>
    <t xml:space="preserve">Referral date/source recorded</t>
  </si>
  <si>
    <t xml:space="preserve">VA</t>
  </si>
  <si>
    <t xml:space="preserve">If intake information is incomplete</t>
  </si>
  <si>
    <t xml:space="preserve">Referral logged and owner assigned.</t>
  </si>
  <si>
    <t xml:space="preserve">ONB-02</t>
  </si>
  <si>
    <t xml:space="preserve">Participant identity/contact details</t>
  </si>
  <si>
    <t xml:space="preserve">Name, preferred contact, site, emergency contact field if provider procedure requires</t>
  </si>
  <si>
    <t xml:space="preserve">Missing/unclear field</t>
  </si>
  <si>
    <t xml:space="preserve">Required fields verified by authorized process.</t>
  </si>
  <si>
    <t xml:space="preserve">ONB-03</t>
  </si>
  <si>
    <t xml:space="preserve">Consent/authority</t>
  </si>
  <si>
    <t xml:space="preserve">Provider's approved consent/authority record</t>
  </si>
  <si>
    <t xml:space="preserve">Authorized owner</t>
  </si>
  <si>
    <t xml:space="preserve">Missing/expired/unclear authority</t>
  </si>
  <si>
    <t xml:space="preserve">Authorized owner confirms valid record.</t>
  </si>
  <si>
    <t xml:space="preserve">ONB-04</t>
  </si>
  <si>
    <t xml:space="preserve">Management type / plan context</t>
  </si>
  <si>
    <t xml:space="preserve">Management type and current plan information where authorized</t>
  </si>
  <si>
    <t xml:space="preserve">VA / coordinator</t>
  </si>
  <si>
    <t xml:space="preserve">Unclear or unavailable</t>
  </si>
  <si>
    <t xml:space="preserve">Authorized owner confirms context.</t>
  </si>
  <si>
    <t xml:space="preserve">ONB-05</t>
  </si>
  <si>
    <t xml:space="preserve">Requested supports</t>
  </si>
  <si>
    <t xml:space="preserve">Support request summary</t>
  </si>
  <si>
    <t xml:space="preserve">Clinical/funding question arises</t>
  </si>
  <si>
    <t xml:space="preserve">Support coordinator confirms scope.</t>
  </si>
  <si>
    <t xml:space="preserve">ONB-06</t>
  </si>
  <si>
    <t xml:space="preserve">Draft/service agreement status</t>
  </si>
  <si>
    <t xml:space="preserve">VA prepares; manager reviews</t>
  </si>
  <si>
    <t xml:space="preserve">Agreement due or missing</t>
  </si>
  <si>
    <t xml:space="preserve">Authorized person approves/returns agreement.</t>
  </si>
  <si>
    <t xml:space="preserve">ONB-07</t>
  </si>
  <si>
    <t xml:space="preserve">Roster/availability</t>
  </si>
  <si>
    <t xml:space="preserve">Preferred schedule and worker requirements</t>
  </si>
  <si>
    <t xml:space="preserve">No suitable availability</t>
  </si>
  <si>
    <t xml:space="preserve">Manager/coordinator chooses from feasible options.</t>
  </si>
  <si>
    <t xml:space="preserve">ONB-08</t>
  </si>
  <si>
    <t xml:space="preserve">Safety / incident flags</t>
  </si>
  <si>
    <t xml:space="preserve">Record reported facts; no independent risk assessment</t>
  </si>
  <si>
    <t xml:space="preserve">VA records; manager handles</t>
  </si>
  <si>
    <t xml:space="preserve">Safety concern reported</t>
  </si>
  <si>
    <t xml:space="preserve">Responsible owner acknowledges and follows procedure.</t>
  </si>
  <si>
    <t xml:space="preserve">ONB-09</t>
  </si>
  <si>
    <t xml:space="preserve">Welcome / communication</t>
  </si>
  <si>
    <t xml:space="preserve">Approved welcome communication</t>
  </si>
  <si>
    <t xml:space="preserve">VA drafts</t>
  </si>
  <si>
    <t xml:space="preserve">Missing contact preference</t>
  </si>
  <si>
    <t xml:space="preserve">Approved communication sent and recorded.</t>
  </si>
  <si>
    <t xml:space="preserve">ONB-10</t>
  </si>
  <si>
    <t xml:space="preserve">Handover / closure</t>
  </si>
  <si>
    <t xml:space="preserve">Handover note and outstanding items</t>
  </si>
  <si>
    <t xml:space="preserve">Any open task remains</t>
  </si>
  <si>
    <t xml:space="preserve">Owner, next action, follow-up and closure condition recorded.</t>
  </si>
  <si>
    <t xml:space="preserve">M10 — Fictional Service Agreement Draft</t>
  </si>
  <si>
    <t xml:space="preserve">FICTIONAL TRAINING DOCUMENT — NOT A LEGAL AGREEMENT. VA prepares/tracks; authorized person reviews and approves.</t>
  </si>
  <si>
    <t xml:space="preserve">Section</t>
  </si>
  <si>
    <t xml:space="preserve">Draft Field</t>
  </si>
  <si>
    <t xml:space="preserve">Example / Prompt</t>
  </si>
  <si>
    <t xml:space="preserve">Learner Entry</t>
  </si>
  <si>
    <t xml:space="preserve">Review Owner</t>
  </si>
  <si>
    <t xml:space="preserve">Parties</t>
  </si>
  <si>
    <t xml:space="preserve">Grace Mitchell / P09 (fictional)</t>
  </si>
  <si>
    <t xml:space="preserve">Authorized provider representative</t>
  </si>
  <si>
    <t xml:space="preserve">Wattlebird Support Services (fictional)</t>
  </si>
  <si>
    <t xml:space="preserve">Term</t>
  </si>
  <si>
    <t xml:space="preserve">Start date</t>
  </si>
  <si>
    <t xml:space="preserve">Enter fictional agreed date</t>
  </si>
  <si>
    <t xml:space="preserve">Manager</t>
  </si>
  <si>
    <t xml:space="preserve">End date</t>
  </si>
  <si>
    <t xml:space="preserve">Supports</t>
  </si>
  <si>
    <t xml:space="preserve">Support requested</t>
  </si>
  <si>
    <t xml:space="preserve">Community access — draft only</t>
  </si>
  <si>
    <t xml:space="preserve">Schedule</t>
  </si>
  <si>
    <t xml:space="preserve">Proposed schedule</t>
  </si>
  <si>
    <t xml:space="preserve">Enter proposed days/times; verify availability</t>
  </si>
  <si>
    <t xml:space="preserve">Operations/coordination</t>
  </si>
  <si>
    <t xml:space="preserve">Pricing</t>
  </si>
  <si>
    <t xml:space="preserve">Training price reference</t>
  </si>
  <si>
    <t xml:space="preserve">Use manager/finance-supplied fictional figure only; learner does not determine the rate.</t>
  </si>
  <si>
    <t xml:space="preserve">For manager</t>
  </si>
  <si>
    <t xml:space="preserve">Manager/finance</t>
  </si>
  <si>
    <t xml:space="preserve">Cancellations</t>
  </si>
  <si>
    <t xml:space="preserve">Provider procedure</t>
  </si>
  <si>
    <t xml:space="preserve">State 'subject to current provider procedure and applicable rules' rather than inventing legal terms</t>
  </si>
  <si>
    <t xml:space="preserve">Privacy</t>
  </si>
  <si>
    <t xml:space="preserve">Information handling</t>
  </si>
  <si>
    <t xml:space="preserve">Provider-authorized systems and approved workflows only</t>
  </si>
  <si>
    <t xml:space="preserve">Manager/privacy owner</t>
  </si>
  <si>
    <t xml:space="preserve">Review</t>
  </si>
  <si>
    <t xml:space="preserve">DRAFT — FOR MANAGER REVIEW</t>
  </si>
  <si>
    <t xml:space="preserve">Closure</t>
  </si>
  <si>
    <t xml:space="preserve">Final approval</t>
  </si>
  <si>
    <t xml:space="preserve">Record approval/version/date only after authorized review</t>
  </si>
  <si>
    <t xml:space="preserve">M14 — Wattlebird Systems Lab</t>
  </si>
  <si>
    <t xml:space="preserve">Fictional interfaces. No government branding, no real credentials, no real participant data.</t>
  </si>
  <si>
    <t xml:space="preserve">Lab ID</t>
  </si>
  <si>
    <t xml:space="preserve">System Area</t>
  </si>
  <si>
    <t xml:space="preserve">Learner Action</t>
  </si>
  <si>
    <t xml:space="preserve">Evidence</t>
  </si>
  <si>
    <t xml:space="preserve">Boundary</t>
  </si>
  <si>
    <t xml:space="preserve">SYS-01</t>
  </si>
  <si>
    <t xml:space="preserve">Find participant record</t>
  </si>
  <si>
    <t xml:space="preserve">Participant Registry</t>
  </si>
  <si>
    <t xml:space="preserve">Locate P08 and confirm site, management type and agreement status.</t>
  </si>
  <si>
    <t xml:space="preserve">Record fields in learner worksheet.</t>
  </si>
  <si>
    <t xml:space="preserve">Use fictional data only.</t>
  </si>
  <si>
    <t xml:space="preserve">SYS-02</t>
  </si>
  <si>
    <t xml:space="preserve">Check worker status</t>
  </si>
  <si>
    <t xml:space="preserve">Staff &amp; Compliance</t>
  </si>
  <si>
    <t xml:space="preserve">Find W08 and identify the screening status shown in the fictional system.</t>
  </si>
  <si>
    <t xml:space="preserve">Record status and affected roster shift.</t>
  </si>
  <si>
    <t xml:space="preserve">Do not infer legal eligibility beyond the fictional system/provider instruction.</t>
  </si>
  <si>
    <t xml:space="preserve">SYS-03</t>
  </si>
  <si>
    <t xml:space="preserve">Check booking</t>
  </si>
  <si>
    <t xml:space="preserve">Bookings</t>
  </si>
  <si>
    <t xml:space="preserve">Find BK-104 and identify participant, worker, date/time and status.</t>
  </si>
  <si>
    <t xml:space="preserve">Record booking details.</t>
  </si>
  <si>
    <t xml:space="preserve">Do not change a booking without authorization.</t>
  </si>
  <si>
    <t xml:space="preserve">SYS-04</t>
  </si>
  <si>
    <t xml:space="preserve">Review claim</t>
  </si>
  <si>
    <t xml:space="preserve">Claims</t>
  </si>
  <si>
    <t xml:space="preserve">Find CLM-203 and compare item, quantity, rate and participant context.</t>
  </si>
  <si>
    <t xml:space="preserve">Complete a check note.</t>
  </si>
  <si>
    <t xml:space="preserve">Do not approve or submit claims independently.</t>
  </si>
  <si>
    <t xml:space="preserve">SYS-05</t>
  </si>
  <si>
    <t xml:space="preserve">Log incident</t>
  </si>
  <si>
    <t xml:space="preserve">Incident Register</t>
  </si>
  <si>
    <t xml:space="preserve">Open IR-008 and draft a factual update/handoff.</t>
  </si>
  <si>
    <t xml:space="preserve">Draft update only.</t>
  </si>
  <si>
    <t xml:space="preserve">Do not decide reportability.</t>
  </si>
  <si>
    <t xml:space="preserve">SYS-06</t>
  </si>
  <si>
    <t xml:space="preserve">Credential safety</t>
  </si>
  <si>
    <t xml:space="preserve">Access</t>
  </si>
  <si>
    <t xml:space="preserve">Respond to a request to use a supervisor's login.</t>
  </si>
  <si>
    <t xml:space="preserve">Document safe response.</t>
  </si>
  <si>
    <t xml:space="preserve">Never use or store another person's credentials.</t>
  </si>
  <si>
    <t xml:space="preserve">M14 Systems Lab — Participant Registry</t>
  </si>
  <si>
    <t xml:space="preserve">FICTIONAL SCREEN.</t>
  </si>
  <si>
    <t xml:space="preserve">Record ID</t>
  </si>
  <si>
    <t xml:space="preserve">Management Type</t>
  </si>
  <si>
    <t xml:space="preserve">Agreement</t>
  </si>
  <si>
    <t xml:space="preserve">Plan Review</t>
  </si>
  <si>
    <t xml:space="preserve">REC-P08</t>
  </si>
  <si>
    <t xml:space="preserve">18/03/2027</t>
  </si>
  <si>
    <t xml:space="preserve">Fictional record</t>
  </si>
  <si>
    <t xml:space="preserve">REC-P09</t>
  </si>
  <si>
    <t xml:space="preserve">—</t>
  </si>
  <si>
    <t xml:space="preserve">New referral; owner review required</t>
  </si>
  <si>
    <t xml:space="preserve">REC-P12</t>
  </si>
  <si>
    <t xml:space="preserve">26/02/2027</t>
  </si>
  <si>
    <t xml:space="preserve">Approx. remaining fictional funds: AUD 420</t>
  </si>
  <si>
    <t xml:space="preserve">M14 Systems Lab — Staff &amp; Compliance</t>
  </si>
  <si>
    <t xml:space="preserve">FICTIONAL SCREEN. Not a government database.</t>
  </si>
  <si>
    <t xml:space="preserve">Worker</t>
  </si>
  <si>
    <t xml:space="preserve">Screening Status</t>
  </si>
  <si>
    <t xml:space="preserve">Expiry</t>
  </si>
  <si>
    <t xml:space="preserve">Eligible to Work (Fictional Field)</t>
  </si>
  <si>
    <t xml:space="preserve">REC-W03</t>
  </si>
  <si>
    <t xml:space="preserve">Clearance</t>
  </si>
  <si>
    <t xml:space="preserve">30/08/2027</t>
  </si>
  <si>
    <t xml:space="preserve">Yes</t>
  </si>
  <si>
    <t xml:space="preserve">REC-W08</t>
  </si>
  <si>
    <t xml:space="preserve">Expired</t>
  </si>
  <si>
    <t xml:space="preserve">25/10/2026</t>
  </si>
  <si>
    <t xml:space="preserve">No</t>
  </si>
  <si>
    <t xml:space="preserve">REC-W07</t>
  </si>
  <si>
    <t xml:space="preserve">09/09/2027</t>
  </si>
  <si>
    <t xml:space="preserve">REC-A02</t>
  </si>
  <si>
    <t xml:space="preserve">Physiotherapist</t>
  </si>
  <si>
    <t xml:space="preserve">Check provider requirement</t>
  </si>
  <si>
    <t xml:space="preserve">M14 Systems Lab — Booking Register</t>
  </si>
  <si>
    <t xml:space="preserve">FICTIONAL SCREEN. Dates/times are practice values.</t>
  </si>
  <si>
    <t xml:space="preserve">Booking ID</t>
  </si>
  <si>
    <t xml:space="preserve">BK-101</t>
  </si>
  <si>
    <t xml:space="preserve">BK-102</t>
  </si>
  <si>
    <t xml:space="preserve">BK-103</t>
  </si>
  <si>
    <t xml:space="preserve">BK-104</t>
  </si>
  <si>
    <t xml:space="preserve">M14 Systems Lab — Claims Register</t>
  </si>
  <si>
    <t xml:space="preserve">FICTIONAL SCREEN. Claim values are invented and checked against fictional Wattlebird data.</t>
  </si>
  <si>
    <t xml:space="preserve">Claim ID</t>
  </si>
  <si>
    <t xml:space="preserve">Item Code</t>
  </si>
  <si>
    <t xml:space="preserve">Rate</t>
  </si>
  <si>
    <t xml:space="preserve">Total</t>
  </si>
  <si>
    <t xml:space="preserve">CLM-201</t>
  </si>
  <si>
    <t xml:space="preserve">Ready</t>
  </si>
  <si>
    <t xml:space="preserve">CLM-202</t>
  </si>
  <si>
    <t xml:space="preserve">CLM-203</t>
  </si>
  <si>
    <t xml:space="preserve">CLM-204</t>
  </si>
  <si>
    <t xml:space="preserve">M14 Systems Lab — Incident Register</t>
  </si>
  <si>
    <t xml:space="preserve">FICTIONAL SCREEN. Record facts and hand off; the VA does not determine reportability.</t>
  </si>
  <si>
    <t xml:space="preserve">Incident ID</t>
  </si>
  <si>
    <t xml:space="preserve">Reported Date/Time</t>
  </si>
  <si>
    <t xml:space="preserve">Reported Facts</t>
  </si>
  <si>
    <t xml:space="preserve">Immediate Action</t>
  </si>
  <si>
    <t xml:space="preserve">Escalated To</t>
  </si>
  <si>
    <t xml:space="preserve">IR-010</t>
  </si>
  <si>
    <t xml:space="preserve">06/11/2026 11:10</t>
  </si>
  <si>
    <t xml:space="preserve">Participant reported a minor fall with no ambulance response recorded in the message.</t>
  </si>
  <si>
    <t xml:space="preserve">Recorded factual report; urgent owner review required.</t>
  </si>
  <si>
    <t xml:space="preserve">IR-008</t>
  </si>
  <si>
    <t xml:space="preserve">07/11/2026 14:15 (event time not documented; reported as earlier that morning)</t>
  </si>
  <si>
    <t xml:space="preserve">Worker reported participant fall; ambulance called. Event time was not documented in the source message.</t>
  </si>
  <si>
    <t xml:space="preserve">Participant taken for medical care.</t>
  </si>
  <si>
    <t xml:space="preserve">Urgent</t>
  </si>
  <si>
    <t xml:space="preserve">IR-009</t>
  </si>
  <si>
    <t xml:space="preserve">02/11/2026 12:20</t>
  </si>
  <si>
    <t xml:space="preserve">Roster containing Marisol information was sent to Priya email by mistake.</t>
  </si>
  <si>
    <t xml:space="preserve">Record facts and prepare privacy/operations handoff.</t>
  </si>
  <si>
    <t xml:space="preserve">M14 — SOP Prove Task</t>
  </si>
  <si>
    <t xml:space="preserve">FICTIONAL TRAINING TEMPLATE. Use the canonical workflow and Wattlebird procedure; do not invent legal or clinical steps.</t>
  </si>
  <si>
    <t xml:space="preserve">SOP Section</t>
  </si>
  <si>
    <t xml:space="preserve">Learner Requirement</t>
  </si>
  <si>
    <t xml:space="preserve">Prompt</t>
  </si>
  <si>
    <t xml:space="preserve">Purpose</t>
  </si>
  <si>
    <t xml:space="preserve">State what the task achieves.</t>
  </si>
  <si>
    <t xml:space="preserve">Example: checking a fictional claim before manager review.</t>
  </si>
  <si>
    <t xml:space="preserve">Trigger</t>
  </si>
  <si>
    <t xml:space="preserve">When does the task start?</t>
  </si>
  <si>
    <t xml:space="preserve">Example: a claim is received for review.</t>
  </si>
  <si>
    <t xml:space="preserve">Inputs</t>
  </si>
  <si>
    <t xml:space="preserve">What records are needed?</t>
  </si>
  <si>
    <t xml:space="preserve">Participant record, claim record, fictional price table.</t>
  </si>
  <si>
    <t xml:space="preserve">Steps</t>
  </si>
  <si>
    <t xml:space="preserve">Write numbered steps.</t>
  </si>
  <si>
    <t xml:space="preserve">Find record → check fields → classify → record note → hand off if needed → follow up.</t>
  </si>
  <si>
    <t xml:space="preserve">Escalation</t>
  </si>
  <si>
    <t xml:space="preserve">When does the VA stop and hand off?</t>
  </si>
  <si>
    <t xml:space="preserve">Authority, safety/privacy/compliance issue, or decision outside VA role.</t>
  </si>
  <si>
    <t xml:space="preserve">Follow-up</t>
  </si>
  <si>
    <t xml:space="preserve">How is the task tracked?</t>
  </si>
  <si>
    <t xml:space="preserve">Owner, next action, trigger/date, response, closure condition.</t>
  </si>
  <si>
    <t xml:space="preserve">What proves the task is complete?</t>
  </si>
  <si>
    <t xml:space="preserve">Manager disposition recorded and relevant record/task updated.</t>
  </si>
  <si>
    <t xml:space="preserve">M15 — Wattlebird Mixed Workweek Capstone</t>
  </si>
  <si>
    <t xml:space="preserve">Independent mixed-workweek assessment: Mon 2–Sun 8 Nov 2026. The capstone uses newly instantiated assessment inputs; several tasks deliberately test skills practised earlier in new combinations.</t>
  </si>
  <si>
    <t xml:space="preserve">Incoming Work</t>
  </si>
  <si>
    <t xml:space="preserve">Learner Priority</t>
  </si>
  <si>
    <t xml:space="preserve">Learner Classification</t>
  </si>
  <si>
    <t xml:space="preserve">Evidence / Notes</t>
  </si>
  <si>
    <t xml:space="preserve">Owner / Handoff</t>
  </si>
  <si>
    <t xml:space="preserve">Follow-Up</t>
  </si>
  <si>
    <t xml:space="preserve">Source Check Required?</t>
  </si>
  <si>
    <t xml:space="preserve">CAP-01</t>
  </si>
  <si>
    <t xml:space="preserve">Mon 2 Nov</t>
  </si>
  <si>
    <t xml:space="preserve">Worker W07 reports they cannot cover P08's 1:00–4:00 pm Gold Coast support shift today.</t>
  </si>
  <si>
    <t xml:space="preserve">CAP-02</t>
  </si>
  <si>
    <t xml:space="preserve">Tue 3 Nov</t>
  </si>
  <si>
    <t xml:space="preserve">A draft roster shows W10 assigned to two Melbourne participants during overlapping hours.</t>
  </si>
  <si>
    <t xml:space="preserve">CAP-03</t>
  </si>
  <si>
    <t xml:space="preserve">A new referral asks whether NDIS funding can be used for a proposed community-transport support.</t>
  </si>
  <si>
    <t xml:space="preserve">CAP-04</t>
  </si>
  <si>
    <t xml:space="preserve">Participant P12 asks whether their Melbourne support scheduled for Sun 8 Nov is affected by a Victorian public holiday.</t>
  </si>
  <si>
    <t xml:space="preserve">CAP-05</t>
  </si>
  <si>
    <t xml:space="preserve">Wed 4 Nov</t>
  </si>
  <si>
    <t xml:space="preserve">A fresh six-line invoice mini-batch contains mixed OK / FLAG / ASK cases.</t>
  </si>
  <si>
    <t xml:space="preserve">CAP-06</t>
  </si>
  <si>
    <t xml:space="preserve">A worker reports that a participant progress note was emailed to an unrelated external address.</t>
  </si>
  <si>
    <t xml:space="preserve">CAP-07</t>
  </si>
  <si>
    <t xml:space="preserve">Thu 5 Nov</t>
  </si>
  <si>
    <t xml:space="preserve">Operations asks for a draft review of participant P04’s service agreement because a review meeting has been scheduled.</t>
  </si>
  <si>
    <t xml:space="preserve">CAP-08</t>
  </si>
  <si>
    <t xml:space="preserve">Participant P10 asks whether a future support-coordination booking can proceed because fictional Capacity Building funds are nearly used.</t>
  </si>
  <si>
    <t xml:space="preserve">CAP-09</t>
  </si>
  <si>
    <t xml:space="preserve">Sat 7 Nov</t>
  </si>
  <si>
    <t xml:space="preserve">A worker reports an incident involving participant P02. Report received at 6:40 pm; incident happened earlier that evening and ambulance assistance was requested.</t>
  </si>
  <si>
    <t xml:space="preserve">CAP-10</t>
  </si>
  <si>
    <t xml:space="preserve">Sun 8 Nov</t>
  </si>
  <si>
    <t xml:space="preserve">Operations asks for an audit-preparation gap check across the fixed complaint and incident records supplied for the capstone.</t>
  </si>
  <si>
    <t xml:space="preserve">Required capstone outputs</t>
  </si>
  <si>
    <t xml:space="preserve">1. Completed task evidence</t>
  </si>
  <si>
    <t xml:space="preserve">2. Follow-Up/Handover Log</t>
  </si>
  <si>
    <t xml:space="preserve">3. One current-source check entry</t>
  </si>
  <si>
    <t xml:space="preserve">4. End-of-week handover note</t>
  </si>
  <si>
    <t xml:space="preserve">5. Portfolio-ready filenames and fictional labels</t>
  </si>
  <si>
    <t xml:space="preserve">Capstone scoring</t>
  </si>
  <si>
    <t xml:space="preserve">Capstone pass condition: at least 16/20 points and no Critical Failure. Certification also requires the separate Certification Rubric threshold and required-criterion rules.</t>
  </si>
  <si>
    <t xml:space="preserve">M16 — Portfolio Assembly</t>
  </si>
  <si>
    <t xml:space="preserve">Keep full certification evidence separately from a smaller client-facing showcase. Label all practice work honestly.</t>
  </si>
  <si>
    <t xml:space="preserve">Folder / Binder</t>
  </si>
  <si>
    <t xml:space="preserve">Minimum Contents</t>
  </si>
  <si>
    <t xml:space="preserve">Naming Pattern</t>
  </si>
  <si>
    <t xml:space="preserve">Required Label</t>
  </si>
  <si>
    <t xml:space="preserve">01_Workplace_Foundations</t>
  </si>
  <si>
    <t xml:space="preserve">M1 profile, M2 workplace messages, M3 file structure, M4 handover</t>
  </si>
  <si>
    <t xml:space="preserve">01_M1_Profile_v1</t>
  </si>
  <si>
    <t xml:space="preserve">FICTIONAL TRAINING ARTIFACT — CREATED FOR PRACTICE PURPOSES ONLY</t>
  </si>
  <si>
    <t xml:space="preserve">Shows workplace readiness.</t>
  </si>
  <si>
    <t xml:space="preserve">02_NDIS_Admin</t>
  </si>
  <si>
    <t xml:space="preserve">M5 glossary, M6 plan exercise, M7 role triage, M8 source check</t>
  </si>
  <si>
    <t xml:space="preserve">02_M6_PlanBreakdown_v1</t>
  </si>
  <si>
    <t xml:space="preserve">Shows NDIS admin reasoning.</t>
  </si>
  <si>
    <t xml:space="preserve">03_Operations</t>
  </si>
  <si>
    <t xml:space="preserve">M9 roster, M10 onboarding/agreement, M11 invoice log</t>
  </si>
  <si>
    <t xml:space="preserve">03_M9_RosterCheck_v1</t>
  </si>
  <si>
    <t xml:space="preserve">Shows operational accuracy.</t>
  </si>
  <si>
    <t xml:space="preserve">04_Privacy_Compliance</t>
  </si>
  <si>
    <t xml:space="preserve">M12 privacy response, M13 incident/complaint work, M14 SOP</t>
  </si>
  <si>
    <t xml:space="preserve">04_M12_PrivacyResponse_v1</t>
  </si>
  <si>
    <t xml:space="preserve">Shows boundaries and escalation.</t>
  </si>
  <si>
    <t xml:space="preserve">05_Capstone</t>
  </si>
  <si>
    <t xml:space="preserve">M15 mixed week, follow-up log, handover, source log</t>
  </si>
  <si>
    <t xml:space="preserve">05_M15_Capstone_v1</t>
  </si>
  <si>
    <t xml:space="preserve">Shows integrated execution.</t>
  </si>
  <si>
    <t xml:space="preserve">06_Job_Readiness</t>
  </si>
  <si>
    <t xml:space="preserve">M16 profile/cover letter, M17 30-day plan/trial task</t>
  </si>
  <si>
    <t xml:space="preserve">06_Profile_v1</t>
  </si>
  <si>
    <t xml:space="preserve">Shows job application readiness.</t>
  </si>
  <si>
    <t xml:space="preserve">Client showcase</t>
  </si>
  <si>
    <t xml:space="preserve">Select 5–6 polished pieces from certification evidence; keep complete evidence available for assessment.</t>
  </si>
  <si>
    <t xml:space="preserve">Certification Rubric — v2.2</t>
  </si>
  <si>
    <t xml:space="preserve">10 criteria × 0–2 = 20 points. Pass: 16/20 or higher, with every Required criterion at least 1.</t>
  </si>
  <si>
    <t xml:space="preserve">#</t>
  </si>
  <si>
    <t xml:space="preserve">Criterion</t>
  </si>
  <si>
    <t xml:space="preserve">Required?</t>
  </si>
  <si>
    <t xml:space="preserve">0 — Not demonstrated / unsafe</t>
  </si>
  <si>
    <t xml:space="preserve">1 — Partial</t>
  </si>
  <si>
    <t xml:space="preserve">2 — Demonstrated</t>
  </si>
  <si>
    <t xml:space="preserve">Administrative Accuracy</t>
  </si>
  <si>
    <t xml:space="preserve">Materially incorrect records, roster/invoice errors, or unsafe checking.</t>
  </si>
  <si>
    <t xml:space="preserve">Minor errors; core work partly correct after review.</t>
  </si>
  <si>
    <t xml:space="preserve">Accurate records, checks and outputs with no material avoidable errors.</t>
  </si>
  <si>
    <t xml:space="preserve">NDIS Accuracy / Appropriate Verification</t>
  </si>
  <si>
    <t xml:space="preserve">Incorrect current claim or confident unsupported statement.</t>
  </si>
  <si>
    <t xml:space="preserve">Correct general approach but verification/source logging is incomplete.</t>
  </si>
  <si>
    <t xml:space="preserve">Uses current official sources when needed and clearly labels uncertainty.</t>
  </si>
  <si>
    <t xml:space="preserve">Communication</t>
  </si>
  <si>
    <t xml:space="preserve">Unclear, misleading, or inappropriate message.</t>
  </si>
  <si>
    <t xml:space="preserve">Understandable but needs editing or stronger ownership.</t>
  </si>
  <si>
    <t xml:space="preserve">Clear, professional, concise, appropriately directed.</t>
  </si>
  <si>
    <t xml:space="preserve">Organization</t>
  </si>
  <si>
    <t xml:space="preserve">Work cannot be followed or key evidence is missing.</t>
  </si>
  <si>
    <t xml:space="preserve">Basic organization with gaps.</t>
  </si>
  <si>
    <t xml:space="preserve">Logical folders, naming, task tracking and version control.</t>
  </si>
  <si>
    <t xml:space="preserve">Privacy / Fictional Data Handling</t>
  </si>
  <si>
    <t xml:space="preserve">Uses/discloses information unsafely or treats fictional data as real.</t>
  </si>
  <si>
    <t xml:space="preserve">Recognizes privacy issue but response needs correction.</t>
  </si>
  <si>
    <t xml:space="preserve">Uses fictional data safely and follows provider-authorized workflow principles.</t>
  </si>
  <si>
    <t xml:space="preserve">Boundary Judgment</t>
  </si>
  <si>
    <t xml:space="preserve">Makes clinical, legal, funding, approval or provider decisions outside role.</t>
  </si>
  <si>
    <t xml:space="preserve">Recognizes some boundaries but needs prompting.</t>
  </si>
  <si>
    <t xml:space="preserve">Consistently gathers, drafts, checks, asks and hands off within role.</t>
  </si>
  <si>
    <t xml:space="preserve">Escalation Judgment</t>
  </si>
  <si>
    <t xml:space="preserve">Fails to escalate a safety/privacy/compliance/authority issue.</t>
  </si>
  <si>
    <t xml:space="preserve">Escalates but channel/owner/timing needs correction.</t>
  </si>
  <si>
    <t xml:space="preserve">Identifies owner, channel, urgency, handoff and follow-up appropriately.</t>
  </si>
  <si>
    <t xml:space="preserve">Leaves open work untracked or marks closure without evidence.</t>
  </si>
  <si>
    <t xml:space="preserve">Tracks some follow-up but misses owner/trigger/closure detail.</t>
  </si>
  <si>
    <t xml:space="preserve">Clearly records outstanding item, owner, next action, trigger, response and closure.</t>
  </si>
  <si>
    <t xml:space="preserve">Documentation</t>
  </si>
  <si>
    <t xml:space="preserve">Facts are missing, judgment is presented as fact, or logs are incomplete.</t>
  </si>
  <si>
    <t xml:space="preserve">Mostly factual but needs structure/detail.</t>
  </si>
  <si>
    <t xml:space="preserve">Neutral, factual, complete and traceable documentation.</t>
  </si>
  <si>
    <t xml:space="preserve">Portfolio Completeness / Honest Representation</t>
  </si>
  <si>
    <t xml:space="preserve">Missing required evidence or claims real client/NDIS certification experience inaccurately.</t>
  </si>
  <si>
    <t xml:space="preserve">Evidence mostly complete with labeling/organization gaps.</t>
  </si>
  <si>
    <t xml:space="preserve">Complete required evidence, clearly fictional, professionally presented.</t>
  </si>
  <si>
    <t xml:space="preserve">Pass rule</t>
  </si>
  <si>
    <t xml:space="preserve">16/20 or higher AND every Required criterion scores at least 1.</t>
  </si>
  <si>
    <t xml:space="preserve">Remediation</t>
  </si>
  <si>
    <t xml:space="preserve">Any 0 on a Required criterion blocks certification until corrected and reassessed. Safety/privacy/boundary failures require remediation.</t>
  </si>
  <si>
    <t xml:space="preserve">Calibration</t>
  </si>
  <si>
    <t xml:space="preserve">16/20 is 80%; it demonstrates consistent beginner competence while the required-criterion floor prevents unsafe gaps from being averaged away.</t>
  </si>
  <si>
    <t xml:space="preserve">Human review</t>
  </si>
  <si>
    <t xml:space="preserve">Final certification is human-reviewed when current-law, privacy, safety, or ambiguous judgment issues arise.</t>
  </si>
  <si>
    <t xml:space="preserve">M11 — Fictional Service-Delivery Evidence</t>
  </si>
  <si>
    <t xml:space="preserve">FICTIONAL TRAINING DATA. Use to check whether invoiced services have matching delivery evidence.</t>
  </si>
  <si>
    <t xml:space="preserve">Delivery ID</t>
  </si>
  <si>
    <t xml:space="preserve">Service Date</t>
  </si>
  <si>
    <t xml:space="preserve">Participant Name</t>
  </si>
  <si>
    <t xml:space="preserve">Delivered Qty</t>
  </si>
  <si>
    <t xml:space="preserve">Evidence Note</t>
  </si>
  <si>
    <t xml:space="preserve">SD-001</t>
  </si>
  <si>
    <t xml:space="preserve">09:00</t>
  </si>
  <si>
    <t xml:space="preserve">11:00</t>
  </si>
  <si>
    <t xml:space="preserve">Delivered</t>
  </si>
  <si>
    <t xml:space="preserve">Fictional delivery record linked to INV-1001.</t>
  </si>
  <si>
    <t xml:space="preserve">SD-002</t>
  </si>
  <si>
    <t xml:space="preserve">13:00</t>
  </si>
  <si>
    <t xml:space="preserve">Fictional delivery record linked to INV-1002.</t>
  </si>
  <si>
    <t xml:space="preserve">SD-003</t>
  </si>
  <si>
    <t xml:space="preserve">Fictional delivery record linked to INV-1003.</t>
  </si>
  <si>
    <t xml:space="preserve">SD-005</t>
  </si>
  <si>
    <t xml:space="preserve">10:00</t>
  </si>
  <si>
    <t xml:space="preserve">14:00</t>
  </si>
  <si>
    <t xml:space="preserve">Fictional delivery record linked to INV-1005.</t>
  </si>
  <si>
    <t xml:space="preserve">SD-006</t>
  </si>
  <si>
    <t xml:space="preserve">Fictional delivery record linked to INV-1006.</t>
  </si>
  <si>
    <t xml:space="preserve">SD-007</t>
  </si>
  <si>
    <t xml:space="preserve">Fictional delivery record linked to INV-1007.</t>
  </si>
  <si>
    <t xml:space="preserve">SD-008</t>
  </si>
  <si>
    <t xml:space="preserve">Fictional delivery record linked to INV-1008.</t>
  </si>
  <si>
    <t xml:space="preserve">SD-009</t>
  </si>
  <si>
    <t xml:space="preserve">Fictional delivery record linked to INV-1009.</t>
  </si>
  <si>
    <t xml:space="preserve">SD-010</t>
  </si>
  <si>
    <t xml:space="preserve">Fictional delivery record linked to INV-1010.</t>
  </si>
  <si>
    <t xml:space="preserve">SD-011</t>
  </si>
  <si>
    <t xml:space="preserve">Fictional delivery record linked to INV-1011.</t>
  </si>
  <si>
    <t xml:space="preserve">SD-012</t>
  </si>
  <si>
    <t xml:space="preserve">17:00</t>
  </si>
  <si>
    <t xml:space="preserve">20:00</t>
  </si>
  <si>
    <t xml:space="preserve">Fictional delivery record linked to INV-1012; weekday evening window.</t>
  </si>
  <si>
    <t xml:space="preserve">SD-013</t>
  </si>
  <si>
    <t xml:space="preserve">18:00</t>
  </si>
  <si>
    <t xml:space="preserve">Fictional delivery record linked to INV-1013.</t>
  </si>
  <si>
    <t xml:space="preserve">SD-014</t>
  </si>
  <si>
    <t xml:space="preserve">Fictional delivery record linked to INV-1014.</t>
  </si>
  <si>
    <t xml:space="preserve">SD-015</t>
  </si>
  <si>
    <t xml:space="preserve">Fictional delivery record linked to INV-1016.</t>
  </si>
  <si>
    <t xml:space="preserve">SD-016</t>
  </si>
  <si>
    <t xml:space="preserve">10:30</t>
  </si>
  <si>
    <t xml:space="preserve">Fictional delivery record linked to INV-1018.</t>
  </si>
  <si>
    <t xml:space="preserve">SD-017</t>
  </si>
  <si>
    <t xml:space="preserve">12:00</t>
  </si>
  <si>
    <t xml:space="preserve">Fictional delivery record linked to INV-1020.</t>
  </si>
  <si>
    <t xml:space="preserve">M1 — Fictional Wattlebird VA Job Post</t>
  </si>
  <si>
    <t xml:space="preserve">FICTIONAL JOB POST — training use only.</t>
  </si>
  <si>
    <t xml:space="preserve">Part-time Virtual Assistant — Wattlebird Support Services</t>
  </si>
  <si>
    <t xml:space="preserve">Reports to</t>
  </si>
  <si>
    <t xml:space="preserve">Rhonda Blake, Operations Manager</t>
  </si>
  <si>
    <t xml:space="preserve">Core tasks</t>
  </si>
  <si>
    <t xml:space="preserve">Inbox administration, roster checks, document tracking, invoice pre-checks, follow-up and handover</t>
  </si>
  <si>
    <t xml:space="preserve">Google Workspace, Wattlebird practice spreadsheets, free task board/chat</t>
  </si>
  <si>
    <t xml:space="preserve">Clear, factual, timely; acknowledge receipt and give the next expected update when appropriate</t>
  </si>
  <si>
    <t xml:space="preserve">Boundaries</t>
  </si>
  <si>
    <t xml:space="preserve">Do not make clinical, funding, legal, reportability, approval or worker-eligibility decisions</t>
  </si>
  <si>
    <t xml:space="preserve">Security</t>
  </si>
  <si>
    <t xml:space="preserve">Use provider-authorized systems and follow provider security procedures</t>
  </si>
  <si>
    <t xml:space="preserve">Practice note</t>
  </si>
  <si>
    <t xml:space="preserve">Applicants should describe simulated Wattlebird work honestly as fictional practice</t>
  </si>
  <si>
    <t xml:space="preserve">M1 — VA Profile Template</t>
  </si>
  <si>
    <t xml:space="preserve">Learner template. Describe practice honestly.</t>
  </si>
  <si>
    <t xml:space="preserve">Role statement</t>
  </si>
  <si>
    <t xml:space="preserve">Relevant skills</t>
  </si>
  <si>
    <t xml:space="preserve">Wattlebird practice completed</t>
  </si>
  <si>
    <t xml:space="preserve">Systems practiced</t>
  </si>
  <si>
    <t xml:space="preserve">What I have not used professionally</t>
  </si>
  <si>
    <t xml:space="preserve">Availability</t>
  </si>
  <si>
    <t xml:space="preserve">Communication approach</t>
  </si>
  <si>
    <t xml:space="preserve">Portfolio evidence</t>
  </si>
  <si>
    <t xml:space="preserve">M2 — Weak Message Drafts</t>
  </si>
  <si>
    <t xml:space="preserve">FICTIONAL drafts for rewriting practice.</t>
  </si>
  <si>
    <t xml:space="preserve">Draft ID</t>
  </si>
  <si>
    <t xml:space="preserve">Context</t>
  </si>
  <si>
    <t xml:space="preserve">Weak Draft</t>
  </si>
  <si>
    <t xml:space="preserve">Learner Rewrite</t>
  </si>
  <si>
    <t xml:space="preserve">WD-01</t>
  </si>
  <si>
    <t xml:space="preserve">Roster clash</t>
  </si>
  <si>
    <t xml:space="preserve">There is a problem with the roster.</t>
  </si>
  <si>
    <t xml:space="preserve">WD-02</t>
  </si>
  <si>
    <t xml:space="preserve">Invoice question</t>
  </si>
  <si>
    <t xml:space="preserve">Please check this.</t>
  </si>
  <si>
    <t xml:space="preserve">WD-03</t>
  </si>
  <si>
    <t xml:space="preserve">Any update?</t>
  </si>
  <si>
    <t xml:space="preserve">WD-04</t>
  </si>
  <si>
    <t xml:space="preserve">Sent Mon 2 Nov, 11:45 am (Melbourne) to Jamal Ortiz; attached InvoiceCheck_v1 instead of v2.</t>
  </si>
  <si>
    <t xml:space="preserve">I accidentally attached an outdated fictional invoice-check file to an internal email.</t>
  </si>
  <si>
    <t xml:space="preserve">M2 — Incomplete Workplace Questions</t>
  </si>
  <si>
    <t xml:space="preserve">FICTIONAL prompts for turning vague questions into actionable requests.</t>
  </si>
  <si>
    <t xml:space="preserve">Question ID</t>
  </si>
  <si>
    <t xml:space="preserve">Incomplete Question</t>
  </si>
  <si>
    <t xml:space="preserve">IQ-01</t>
  </si>
  <si>
    <t xml:space="preserve">Can someone cover?</t>
  </si>
  <si>
    <t xml:space="preserve">IQ-02</t>
  </si>
  <si>
    <t xml:space="preserve">Invoice</t>
  </si>
  <si>
    <t xml:space="preserve">Is this okay?</t>
  </si>
  <si>
    <t xml:space="preserve">IQ-03</t>
  </si>
  <si>
    <t xml:space="preserve">What about Lucia?</t>
  </si>
  <si>
    <t xml:space="preserve">IQ-04</t>
  </si>
  <si>
    <t xml:space="preserve">What should I do?</t>
  </si>
  <si>
    <t xml:space="preserve">IQ-05</t>
  </si>
  <si>
    <t xml:space="preserve">Funding</t>
  </si>
  <si>
    <t xml:space="preserve">Can we book it?</t>
  </si>
  <si>
    <t xml:space="preserve">M3 — Messy File Naming Practice</t>
  </si>
  <si>
    <t xml:space="preserve">FICTIONAL filenames. Learner proposes a consistent naming pattern.</t>
  </si>
  <si>
    <t xml:space="preserve">File ID</t>
  </si>
  <si>
    <t xml:space="preserve">Current Filename</t>
  </si>
  <si>
    <t xml:space="preserve">Learner New Filename</t>
  </si>
  <si>
    <t xml:space="preserve">Reason</t>
  </si>
  <si>
    <t xml:space="preserve">MF-01</t>
  </si>
  <si>
    <t xml:space="preserve">final-final roster.xlsx</t>
  </si>
  <si>
    <t xml:space="preserve">MF-02</t>
  </si>
  <si>
    <t xml:space="preserve">Invoice new 2.xlsx</t>
  </si>
  <si>
    <t xml:space="preserve">MF-03</t>
  </si>
  <si>
    <t xml:space="preserve">Grace agreement latest.docx</t>
  </si>
  <si>
    <t xml:space="preserve">MF-04</t>
  </si>
  <si>
    <t xml:space="preserve">handover.docx</t>
  </si>
  <si>
    <t xml:space="preserve">MF-05</t>
  </si>
  <si>
    <t xml:space="preserve">source check updated.xlsx</t>
  </si>
  <si>
    <t xml:space="preserve">M4 — Date and Format Trap</t>
  </si>
  <si>
    <t xml:space="preserve">FICTIONAL practice examples. Use the stated Wattlebird format and verify ambiguous dates.</t>
  </si>
  <si>
    <t xml:space="preserve">Item ID</t>
  </si>
  <si>
    <t xml:space="preserve">Displayed Value</t>
  </si>
  <si>
    <t xml:space="preserve">Issue to Check</t>
  </si>
  <si>
    <t xml:space="preserve">Learner Correction / Note</t>
  </si>
  <si>
    <t xml:space="preserve">DF-01</t>
  </si>
  <si>
    <t xml:space="preserve">04/11/2026</t>
  </si>
  <si>
    <t xml:space="preserve">Could mean 4 Nov or 11 Apr depending on convention.</t>
  </si>
  <si>
    <t xml:space="preserve">DF-02</t>
  </si>
  <si>
    <t xml:space="preserve">11/04/2026</t>
  </si>
  <si>
    <t xml:space="preserve">Could mean 11 Apr or 4 Nov depending on convention.</t>
  </si>
  <si>
    <t xml:space="preserve">DF-03</t>
  </si>
  <si>
    <t xml:space="preserve">AUD 205</t>
  </si>
  <si>
    <t xml:space="preserve">Confirm this is fictional currency formatting, not a real price claim.</t>
  </si>
  <si>
    <t xml:space="preserve">DF-04</t>
  </si>
  <si>
    <t xml:space="preserve">2026-11-03</t>
  </si>
  <si>
    <t xml:space="preserve">ISO-style date; identify the corresponding local day.</t>
  </si>
  <si>
    <t xml:space="preserve">M4 — Handover Note Template</t>
  </si>
  <si>
    <t xml:space="preserve">Learner template. State facts, owner, next action, follow-up and closure.</t>
  </si>
  <si>
    <t xml:space="preserve">Date/time</t>
  </si>
  <si>
    <t xml:space="preserve">Task / issue</t>
  </si>
  <si>
    <t xml:space="preserve">What happened</t>
  </si>
  <si>
    <t xml:space="preserve">Current status</t>
  </si>
  <si>
    <t xml:space="preserve">Next action</t>
  </si>
  <si>
    <t xml:space="preserve">Follow-up trigger</t>
  </si>
  <si>
    <t xml:space="preserve">Closure condition</t>
  </si>
  <si>
    <t xml:space="preserve">Requester/affected party informed?</t>
  </si>
  <si>
    <t xml:space="preserve">M5 — Organization and Role Matching</t>
  </si>
  <si>
    <t xml:space="preserve">FICTIONAL situations. Match each to the most appropriate role/owner.</t>
  </si>
  <si>
    <t xml:space="preserve">Situation ID</t>
  </si>
  <si>
    <t xml:space="preserve">Situation</t>
  </si>
  <si>
    <t xml:space="preserve">Learner Role/Owner</t>
  </si>
  <si>
    <t xml:space="preserve">SIT-01</t>
  </si>
  <si>
    <t xml:space="preserve">Participant asks what NDIS funding covers.</t>
  </si>
  <si>
    <t xml:space="preserve">SIT-02</t>
  </si>
  <si>
    <t xml:space="preserve">Invoice batch needs administrative pre-check.</t>
  </si>
  <si>
    <t xml:space="preserve">SIT-03</t>
  </si>
  <si>
    <t xml:space="preserve">Participant asks for copies of records.</t>
  </si>
  <si>
    <t xml:space="preserve">SIT-04</t>
  </si>
  <si>
    <t xml:space="preserve">Worker reports a participant injury.</t>
  </si>
  <si>
    <t xml:space="preserve">SIT-05</t>
  </si>
  <si>
    <t xml:space="preserve">Agreement draft needs approval.</t>
  </si>
  <si>
    <t xml:space="preserve">M5 — Safe Question Practice</t>
  </si>
  <si>
    <t xml:space="preserve">FICTIONAL prompts. Draft a safe acknowledgment, clarification and handoff.</t>
  </si>
  <si>
    <t xml:space="preserve">Prompt ID</t>
  </si>
  <si>
    <t xml:space="preserve">Question Type</t>
  </si>
  <si>
    <t xml:space="preserve">Learner Response</t>
  </si>
  <si>
    <t xml:space="preserve">SQ-01</t>
  </si>
  <si>
    <t xml:space="preserve">Does NDIS fund this new support?</t>
  </si>
  <si>
    <t xml:space="preserve">SQ-02</t>
  </si>
  <si>
    <t xml:space="preserve">Clinical suitability</t>
  </si>
  <si>
    <t xml:space="preserve">Would this support be clinically suitable for the participant?</t>
  </si>
  <si>
    <t xml:space="preserve">SQ-03</t>
  </si>
  <si>
    <t xml:space="preserve">Eligibility</t>
  </si>
  <si>
    <t xml:space="preserve">Is this participant eligible for this support?</t>
  </si>
  <si>
    <t xml:space="preserve">M8 — Learner Pricing Check Log</t>
  </si>
  <si>
    <t xml:space="preserve">Use current official sources for real-world information. Wattlebird prices are fictional.</t>
  </si>
  <si>
    <t xml:space="preserve">Check ID</t>
  </si>
  <si>
    <t xml:space="preserve">Support Item / Code</t>
  </si>
  <si>
    <t xml:space="preserve">Official Source</t>
  </si>
  <si>
    <t xml:space="preserve">Date Checked</t>
  </si>
  <si>
    <t xml:space="preserve">Version / Effective Date</t>
  </si>
  <si>
    <t xml:space="preserve">Applicability / Management Type</t>
  </si>
  <si>
    <t xml:space="preserve">Finding</t>
  </si>
  <si>
    <t xml:space="preserve">Action / Owner</t>
  </si>
  <si>
    <t xml:space="preserve">M9 — Extended Roster Practice</t>
  </si>
  <si>
    <t xml:space="preserve">FICTIONAL cases. Propose options; the authorized owner decides.</t>
  </si>
  <si>
    <t xml:space="preserve">Case ID</t>
  </si>
  <si>
    <t xml:space="preserve">Options / Next Action</t>
  </si>
  <si>
    <t xml:space="preserve">M9-X1</t>
  </si>
  <si>
    <t xml:space="preserve">Approved leave conflicts with a scheduled shift</t>
  </si>
  <si>
    <t xml:space="preserve">W05 unavailable 4–5 Nov; BK-103 shows a 4 Nov booking.</t>
  </si>
  <si>
    <t xml:space="preserve">M9-X2</t>
  </si>
  <si>
    <t xml:space="preserve">Shift is unfilled</t>
  </si>
  <si>
    <t xml:space="preserve">R12 has no confirmed worker. Suggest two feasible options.</t>
  </si>
  <si>
    <t xml:space="preserve">M9-X3</t>
  </si>
  <si>
    <t xml:space="preserve">Timezone label error</t>
  </si>
  <si>
    <t xml:space="preserve">Gold Coast booking is entered with AEDT instead of AEST.</t>
  </si>
  <si>
    <t xml:space="preserve">M12 — Provider-Policy Security Practice</t>
  </si>
  <si>
    <t xml:space="preserve">FICTIONAL. Follow Wattlebird/provider policy; do not invent universal technical rules.</t>
  </si>
  <si>
    <t xml:space="preserve">Classification</t>
  </si>
  <si>
    <t xml:space="preserve">SP-01</t>
  </si>
  <si>
    <t xml:space="preserve">A VA is asked to work from public Wi-Fi with participant information.</t>
  </si>
  <si>
    <t xml:space="preserve">SP-02</t>
  </si>
  <si>
    <t xml:space="preserve">A family computer is used for provider work and security expectations are unclear.</t>
  </si>
  <si>
    <t xml:space="preserve">SP-03</t>
  </si>
  <si>
    <t xml:space="preserve">A staff member asks you to forward participant data to a personal email.</t>
  </si>
  <si>
    <t xml:space="preserve">M17 — Fictional Trial Pack — New Task Instances</t>
  </si>
  <si>
    <t xml:space="preserve">FICTIONAL practice. These task instances are newly written for the trial. They test administrative judgment using different record patterns from the worked examples.</t>
  </si>
  <si>
    <t xml:space="preserve">Input</t>
  </si>
  <si>
    <t xml:space="preserve">Learner Work</t>
  </si>
  <si>
    <t xml:space="preserve">Expected Output</t>
  </si>
  <si>
    <t xml:space="preserve">TR-01</t>
  </si>
  <si>
    <t xml:space="preserve">TR01_Handover_Note: "Follow-up with Olivia completed"; TR01_Follow_Up: owner Olivia, status Open, no closure condition or response recorded.</t>
  </si>
  <si>
    <t xml:space="preserve">Compare the handover note with the follow-up record, identify the documentation gap, assign the next action and define what would close it.</t>
  </si>
  <si>
    <t xml:space="preserve">Evidence of mismatch, owner/next action, follow-up trigger and closure condition.</t>
  </si>
  <si>
    <t xml:space="preserve">TR-02</t>
  </si>
  <si>
    <t xml:space="preserve">TR02_Invoice_Line: INV-TR02 / P04 / 05-Nov-2026 / item FX-XX-77 / qty 1 / rate 75. The item code is absent from Price_Table.</t>
  </si>
  <si>
    <t xml:space="preserve">Identify the exception, ask/route it to the appropriate owner and define the closure condition.</t>
  </si>
  <si>
    <t xml:space="preserve">Exception record, clarification route and closure condition.</t>
  </si>
  <si>
    <t xml:space="preserve">TR-03</t>
  </si>
  <si>
    <t xml:space="preserve">TR03_Task_Board: TASK-TR03 requests record MISSING-REC-01 from M14_Bookings; no such record is supplied in that sheet.</t>
  </si>
  <si>
    <t xml:space="preserve">Verify the requested source, document what is missing, avoid inventing the record and prepare a factual handoff.</t>
  </si>
  <si>
    <t xml:space="preserve">Evidence checked, missing-record note, owner/handoff and follow-up condition.</t>
  </si>
  <si>
    <t xml:space="preserve">M17 — First 30 Days Plan</t>
  </si>
  <si>
    <t xml:space="preserve">Learner template for an honest first-month onboarding conversation.</t>
  </si>
  <si>
    <t xml:space="preserve">Question / Topic</t>
  </si>
  <si>
    <t xml:space="preserve">Systems and access</t>
  </si>
  <si>
    <t xml:space="preserve">SOPs and provider procedures</t>
  </si>
  <si>
    <t xml:space="preserve">Escalation contacts and backup</t>
  </si>
  <si>
    <t xml:space="preserve">After-hours procedure</t>
  </si>
  <si>
    <t xml:space="preserve">Expected response hours</t>
  </si>
  <si>
    <t xml:space="preserve">Privacy/security requirements</t>
  </si>
  <si>
    <t xml:space="preserve">Current-source expectations</t>
  </si>
  <si>
    <t xml:space="preserve">Communication channels</t>
  </si>
  <si>
    <t xml:space="preserve">Review/check-in cadence</t>
  </si>
  <si>
    <t xml:space="preserve">Training gaps</t>
  </si>
  <si>
    <t xml:space="preserve">M16 — Honest Outreach Template</t>
  </si>
  <si>
    <t xml:space="preserve">Learner template. Describe fictional practice accurately; do not claim client employment.</t>
  </si>
  <si>
    <t xml:space="preserve">Learner Draft</t>
  </si>
  <si>
    <t xml:space="preserve">Opening</t>
  </si>
  <si>
    <t xml:space="preserve">Relevant VA skills</t>
  </si>
  <si>
    <t xml:space="preserve">Relevant fictional practice</t>
  </si>
  <si>
    <t xml:space="preserve">Systems practiced honestly</t>
  </si>
  <si>
    <t xml:space="preserve">Portfolio link/label</t>
  </si>
  <si>
    <t xml:space="preserve">Closing</t>
  </si>
  <si>
    <t xml:space="preserve">Certification Calibration Exemplars</t>
  </si>
  <si>
    <t xml:space="preserve">Fictional examples for self-audit. These are calibration examples, not answer keys to the capstone.</t>
  </si>
  <si>
    <t xml:space="preserve">0 Example</t>
  </si>
  <si>
    <t xml:space="preserve">1 Example</t>
  </si>
  <si>
    <t xml:space="preserve">2 Example</t>
  </si>
  <si>
    <t xml:space="preserve">Example: changes an invoice quantity in the source workbook instead of recording the discrepancy for review.</t>
  </si>
  <si>
    <t xml:space="preserve">Example: checks most fields but misses one discrepancy or needs correction.</t>
  </si>
  <si>
    <t xml:space="preserve">Example: complete, traceable check with correct evidence and no invented changes.</t>
  </si>
  <si>
    <t xml:space="preserve">Example: treats a fictional Wattlebird price as a universal NDIS rule without checking the current official source.</t>
  </si>
  <si>
    <t xml:space="preserve">Example: identifies the need to verify but omits source/version detail.</t>
  </si>
  <si>
    <t xml:space="preserve">Example: correctly distinguishes fictional Wattlebird rules from current NDIS requirements and documents verification.</t>
  </si>
  <si>
    <t xml:space="preserve">Example: sends a vague message such as “There is a problem” with no record, owner, requested action or next step.</t>
  </si>
  <si>
    <t xml:space="preserve">Example: message is understandable but misses timing or owner.</t>
  </si>
  <si>
    <t xml:space="preserve">Example: concise, factual message that another person can act on without clarification.</t>
  </si>
  <si>
    <t xml:space="preserve">Example: saves practice evidence under an unclear filename and cannot identify which scenario it came from.</t>
  </si>
  <si>
    <t xml:space="preserve">Example: evidence exists but requires cleanup or reorganization.</t>
  </si>
  <si>
    <t xml:space="preserve">Example: evidence is traceable by scenario/ID and easy for another person to locate.</t>
  </si>
  <si>
    <t xml:space="preserve">Example: copies fictional participant information into an unauthorized channel or invents missing personal information.</t>
  </si>
  <si>
    <t xml:space="preserve">Example: mostly safe but one handling step needs correction.</t>
  </si>
  <si>
    <t xml:space="preserve">Example: clearly preserves fictional-data boundaries and follows approved handling/urgent handoff rules.</t>
  </si>
  <si>
    <t xml:space="preserve">Example: approves, rejects, negotiates or changes an invoice even though the provider workflow assigns that decision to an owner.</t>
  </si>
  <si>
    <t xml:space="preserve">Example: mostly stays in role but wording suggests an unauthorized decision.</t>
  </si>
  <si>
    <t xml:space="preserve">Example: consistently separates administrative checking from authorized decisions.</t>
  </si>
  <si>
    <t xml:space="preserve">Example: ignores an urgent privacy issue or sends the handoff without identifying the owner or acknowledgement path.</t>
  </si>
  <si>
    <t xml:space="preserve">Example: correct escalation but missing timing/acknowledgement.</t>
  </si>
  <si>
    <t xml:space="preserve">Example: correct owner, channel, urgency, acknowledgement and follow-up path.</t>
  </si>
  <si>
    <t xml:space="preserve">Example: marks an issue closed immediately after sending a message, without a response or closure evidence.</t>
  </si>
  <si>
    <t xml:space="preserve">Example: tracks the item but closure evidence is vague.</t>
  </si>
  <si>
    <t xml:space="preserve">Example: records trigger, owner and evidence required for closure; no-response remains open.</t>
  </si>
  <si>
    <t xml:space="preserve">Example: writes “handled” without recording what was checked, what was found or what remains open.</t>
  </si>
  <si>
    <t xml:space="preserve">Example: adequate note with minor traceability gap.</t>
  </si>
  <si>
    <t xml:space="preserve">Example: another person can take over from the note without asking what happened.</t>
  </si>
  <si>
    <t xml:space="preserve">Example: presents fictional practice work as real client experience or claims responsibility for decisions made by the provider.</t>
  </si>
  <si>
    <t xml:space="preserve">Example: portfolio item is usable but overstates responsibility.</t>
  </si>
  <si>
    <t xml:space="preserve">Example: artifact is labeled fictional/practice where appropriate and accurately describes the learner’s contribution.</t>
  </si>
  <si>
    <t xml:space="preserve">Certification Self-Audit Guide</t>
  </si>
  <si>
    <t xml:space="preserve">Use after completing required evidence. Final certification threshold: 16/20; every Required criterion at least 1; any Required 0 blocks certification.</t>
  </si>
  <si>
    <t xml:space="preserve">Evidence to Review</t>
  </si>
  <si>
    <t xml:space="preserve">Self-Check Question</t>
  </si>
  <si>
    <t xml:space="preserve">Score (0–2)</t>
  </si>
  <si>
    <t xml:space="preserve">Remediation Needed?</t>
  </si>
  <si>
    <t xml:space="preserve">M11_Invoice_Check_Log + relevant invoice/service-delivery rows</t>
  </si>
  <si>
    <t xml:space="preserve">Can another person verify the key facts from the evidence without asking me to reconstruct the work?</t>
  </si>
  <si>
    <t xml:space="preserve">`M8_Pricing_Check_Log` + any current-source lesson evidence</t>
  </si>
  <si>
    <t xml:space="preserve">Did I use the correct current source for any real-world NDIS claim, and did I keep fictional Wattlebird rules separate?</t>
  </si>
  <si>
    <t xml:space="preserve">M2 message drafts / M2_Weak_Drafts completed work</t>
  </si>
  <si>
    <t xml:space="preserve">Could the recipient act from my message without a second clarification?</t>
  </si>
  <si>
    <t xml:space="preserve">M16_Portfolio folders + scenario-ID filenames</t>
  </si>
  <si>
    <t xml:space="preserve">Can I locate each required evidence item quickly and trace it to its scenario or task?</t>
  </si>
  <si>
    <t xml:space="preserve">M12_Security_Practice + Security_Extensions + E07/SEC-02 handoff evidence</t>
  </si>
  <si>
    <t xml:space="preserve">Did I keep all practice data fictional and follow the provider-approved handling procedure?</t>
  </si>
  <si>
    <t xml:space="preserve">M2 Work Boundary evidence + M11_Invoice_Check_Log</t>
  </si>
  <si>
    <t xml:space="preserve">Did I stay within the VA role and leave approval/funding/clinical/authorization decisions with the owner?</t>
  </si>
  <si>
    <t xml:space="preserve">M2.3 urgent escalation + Follow_Up_Log where applicable</t>
  </si>
  <si>
    <t xml:space="preserve">Did I choose the correct owner and use the defined urgent or routine handoff procedure?</t>
  </si>
  <si>
    <t xml:space="preserve">Follow_Up_Log entries + closure evidence</t>
  </si>
  <si>
    <t xml:space="preserve">Did I record the trigger and the evidence that would prove closure?</t>
  </si>
  <si>
    <t xml:space="preserve">Completed task notes / handover evidence</t>
  </si>
  <si>
    <t xml:space="preserve">Could another person take over from my notes without asking what happened?</t>
  </si>
  <si>
    <t xml:space="preserve">M16_Portfolio descriptions and fictional-training labels</t>
  </si>
  <si>
    <t xml:space="preserve">Does my portfolio accurately describe what I personally did and clearly label fictional practice evidence?</t>
  </si>
  <si>
    <t xml:space="preserve">M11 — Learner Invoice Check Log</t>
  </si>
  <si>
    <t xml:space="preserve">Blank learner template. Check each line against evidence; record unit, route-to and follow-up. Fictional prices only.</t>
  </si>
  <si>
    <t xml:space="preserve">Item</t>
  </si>
  <si>
    <t xml:space="preserve">Fictional Rate/Reference</t>
  </si>
  <si>
    <t xml:space="preserve">Duplicate Check</t>
  </si>
  <si>
    <t xml:space="preserve">Service-Delivery Evidence</t>
  </si>
  <si>
    <t xml:space="preserve">Route To</t>
  </si>
  <si>
    <t xml:space="preserve">Why / Evidence</t>
  </si>
  <si>
    <t xml:space="preserve">M6 — Fictional Support Requests</t>
  </si>
  <si>
    <t xml:space="preserve">Use only with M6_Fictional_Plan. Identify what is known, what is ambiguous, and what requires an authorized answer.</t>
  </si>
  <si>
    <t xml:space="preserve">Request ID</t>
  </si>
  <si>
    <t xml:space="preserve">Request</t>
  </si>
  <si>
    <t xml:space="preserve">Known Plan Context</t>
  </si>
  <si>
    <t xml:space="preserve">Learner Category / Match</t>
  </si>
  <si>
    <t xml:space="preserve">What Is Unclear?</t>
  </si>
  <si>
    <t xml:space="preserve">Clarification Question</t>
  </si>
  <si>
    <t xml:space="preserve">Core allocation exists</t>
  </si>
  <si>
    <t xml:space="preserve">Capacity Building allocation exists</t>
  </si>
  <si>
    <t xml:space="preserve">Plan has Core and Capacity Building allocations</t>
  </si>
  <si>
    <t xml:space="preserve">M15 — Fresh Capstone Scenario Pack</t>
  </si>
  <si>
    <t xml:space="preserve">FICTIONAL TRAINING DATA. These are assessment inputs created for M15 and are not copied from the worked scenarios in Modules 1–14.</t>
  </si>
  <si>
    <t xml:space="preserve">Supporting Evidence / Starting Point</t>
  </si>
  <si>
    <t xml:space="preserve">Source Check?</t>
  </si>
  <si>
    <t xml:space="preserve">Exercise Note</t>
  </si>
  <si>
    <t xml:space="preserve">Use M15_Capstone_Roster CRO-01 and the CAP-01 candidate extract in that sheet; verify site, availability and screening before proposing cover.</t>
  </si>
  <si>
    <t xml:space="preserve">Use the supplied screening, site and availability facts; do not choose the final cover.</t>
  </si>
  <si>
    <t xml:space="preserve">Use M15_Capstone_Roster CRO-02 and CRO-03; verify the overlap before routing.</t>
  </si>
  <si>
    <t xml:space="preserve">Verify the overlap, identify the affected participants and route the schedule issue.</t>
  </si>
  <si>
    <t xml:space="preserve">Referral question only; no authorized funding answer is provided in the scenario.</t>
  </si>
  <si>
    <t xml:space="preserve">Do not answer the funding question; identify and use the appropriate authorized owner.</t>
  </si>
  <si>
    <t xml:space="preserve">Use Participants for P12/site context and verify the official Victorian 2026 public-holiday source for 8 Nov.</t>
  </si>
  <si>
    <t xml:space="preserve">Record the source result and route any schedule decision to the authorized operations owner.</t>
  </si>
  <si>
    <t xml:space="preserve">Open M15_Capstone_Invoice_Batch and M15_Capstone_Invoice_Evidence; use the M11 checking workflow.</t>
  </si>
  <si>
    <t xml:space="preserve">Use the supplied fictional rate table and neutral delivery evidence.</t>
  </si>
  <si>
    <t xml:space="preserve">Record only the facts provided in the scenario; use the urgent privacy/operations procedure.</t>
  </si>
  <si>
    <t xml:space="preserve">Record only the supplied facts and follow the urgent privacy/operations procedure.</t>
  </si>
  <si>
    <t xml:space="preserve">Use Participants for P04 details and copy M10_Agreement before entering capstone data.</t>
  </si>
  <si>
    <t xml:space="preserve">Prepare and track the draft only; an authorized person reviews and approves terms.</t>
  </si>
  <si>
    <t xml:space="preserve">Use Participants for P10’s management type, support type and remaining funds; do not use M6_Fictional_Plan.</t>
  </si>
  <si>
    <t xml:space="preserve">Do not promise a booking; use the participant record and route the funding/booking question.</t>
  </si>
  <si>
    <t xml:space="preserve">A worker reports an incident involving participant P02. The report is received at 6:40 pm; the incident happened earlier that evening and ambulance assistance was requested.</t>
  </si>
  <si>
    <t xml:space="preserve">For this exercise, assume you are covering the Wattlebird inbox at 6:40 pm Saturday. Use the fictional urgent procedure.</t>
  </si>
  <si>
    <t xml:space="preserve">Record only documented times and follow the urgent procedure; do not invent the incident time.</t>
  </si>
  <si>
    <t xml:space="preserve">Review M15_Capstone_Audit_Records and identify factual/documentation gaps from the raw fields only.</t>
  </si>
  <si>
    <t xml:space="preserve">Use the raw fields only; distinguish missing documentation from unsupported inference.</t>
  </si>
  <si>
    <t xml:space="preserve">M15 — Fresh Fictional Invoice Mini-Batch</t>
  </si>
  <si>
    <t xml:space="preserve">FICTIONAL TRAINING DATA. Use only for CAP-05. Rates come from the fictional Price_Table. Delivery evidence is supplied separately in M15_Capstone_Invoice_Evidence.</t>
  </si>
  <si>
    <t xml:space="preserve">Invoice ID</t>
  </si>
  <si>
    <t xml:space="preserve">Evidence ID</t>
  </si>
  <si>
    <t xml:space="preserve">Learner Disposition</t>
  </si>
  <si>
    <t xml:space="preserve">CINV-2001</t>
  </si>
  <si>
    <t xml:space="preserve">02/11/2026</t>
  </si>
  <si>
    <t xml:space="preserve">CSD-2001</t>
  </si>
  <si>
    <t xml:space="preserve">CINV-2002</t>
  </si>
  <si>
    <t xml:space="preserve">CINV-2003</t>
  </si>
  <si>
    <t xml:space="preserve">03/11/2026</t>
  </si>
  <si>
    <t xml:space="preserve">CINV-2004</t>
  </si>
  <si>
    <t xml:space="preserve">CSD-2004</t>
  </si>
  <si>
    <t xml:space="preserve">CINV-2005</t>
  </si>
  <si>
    <t xml:space="preserve">CSD-2005</t>
  </si>
  <si>
    <t xml:space="preserve">CINV-2006</t>
  </si>
  <si>
    <t xml:space="preserve">CSD-2006</t>
  </si>
  <si>
    <t xml:space="preserve">M15 — Capstone Roster Evidence</t>
  </si>
  <si>
    <t xml:space="preserve">FICTIONAL TRAINING DATA. Assessment-only records for CAP-01 and CAP-02. Separate from the practice-week Roster.</t>
  </si>
  <si>
    <t xml:space="preserve">Participant Site</t>
  </si>
  <si>
    <t xml:space="preserve">Worker Site</t>
  </si>
  <si>
    <t xml:space="preserve">CRO-01</t>
  </si>
  <si>
    <t xml:space="preserve">16:00</t>
  </si>
  <si>
    <t xml:space="preserve">Affected</t>
  </si>
  <si>
    <t xml:space="preserve">Assessment roster record for the affected shift.</t>
  </si>
  <si>
    <t xml:space="preserve">CRO-02</t>
  </si>
  <si>
    <t xml:space="preserve">Draft</t>
  </si>
  <si>
    <t xml:space="preserve">Draft roster entry.</t>
  </si>
  <si>
    <t xml:space="preserve">CRO-03</t>
  </si>
  <si>
    <t xml:space="preserve">CAP-01 COVER CANDIDATES — FICTIONAL ASSESSMENT EXTRACT (screening status and expiry are supplied facts)</t>
  </si>
  <si>
    <t xml:space="preserve">Candidate ID</t>
  </si>
  <si>
    <t xml:space="preserve">Role Type</t>
  </si>
  <si>
    <t xml:space="preserve">Screening Expiry</t>
  </si>
  <si>
    <t xml:space="preserve">Wed–Sun</t>
  </si>
  <si>
    <t xml:space="preserve">EXPIRED</t>
  </si>
  <si>
    <t xml:space="preserve">Mon–Thu</t>
  </si>
  <si>
    <t xml:space="preserve">OK</t>
  </si>
  <si>
    <t xml:space="preserve">Mon–Fri</t>
  </si>
  <si>
    <t xml:space="preserve">M15 — Capstone Audit Records</t>
  </si>
  <si>
    <t xml:space="preserve">FICTIONAL TRAINING DATA. Raw record fields for CAP-10. Blank fields are intentionally blank; do not infer missing facts.</t>
  </si>
  <si>
    <t xml:space="preserve">Record Type</t>
  </si>
  <si>
    <t xml:space="preserve">Date / Reported</t>
  </si>
  <si>
    <t xml:space="preserve">Complaint / Event Text (verbatim)</t>
  </si>
  <si>
    <t xml:space="preserve">Acknowledged Date</t>
  </si>
  <si>
    <t xml:space="preserve">Event Date / Time</t>
  </si>
  <si>
    <t xml:space="preserve">Containment Action</t>
  </si>
  <si>
    <t xml:space="preserve">Owner Response / Closure Note</t>
  </si>
  <si>
    <t xml:space="preserve">Source Note</t>
  </si>
  <si>
    <t xml:space="preserve">CAR-01</t>
  </si>
  <si>
    <t xml:space="preserve">Complaint</t>
  </si>
  <si>
    <t xml:space="preserve">06/11/2026</t>
  </si>
  <si>
    <t xml:space="preserve">Operations</t>
  </si>
  <si>
    <t xml:space="preserve">Participant reported repeated late arrivals.</t>
  </si>
  <si>
    <t xml:space="preserve">Complaint record extract.</t>
  </si>
  <si>
    <t xml:space="preserve">CAR-02</t>
  </si>
  <si>
    <t xml:space="preserve">05/11/2026</t>
  </si>
  <si>
    <t xml:space="preserve">Closed</t>
  </si>
  <si>
    <t xml:space="preserve">Participant raised a concern about communication.</t>
  </si>
  <si>
    <t xml:space="preserve">05/11/2026 10:00</t>
  </si>
  <si>
    <t xml:space="preserve">Follow-up completed.</t>
  </si>
  <si>
    <t xml:space="preserve">Operations follow-up completed; participant communication concern addressed.</t>
  </si>
  <si>
    <t xml:space="preserve">CAR-03</t>
  </si>
  <si>
    <t xml:space="preserve">Incident</t>
  </si>
  <si>
    <t xml:space="preserve">07/11/2026</t>
  </si>
  <si>
    <t xml:space="preserve">Fall reported; ambulance called; report received at 2:15 pm.</t>
  </si>
  <si>
    <t xml:space="preserve">Incident record extract.</t>
  </si>
  <si>
    <t xml:space="preserve">CAR-04</t>
  </si>
  <si>
    <t xml:space="preserve">Roster information was sent to an unrelated email address.</t>
  </si>
  <si>
    <t xml:space="preserve">02/11/2026 09:30</t>
  </si>
  <si>
    <t xml:space="preserve">CAR-05</t>
  </si>
  <si>
    <t xml:space="preserve">Participant stated that staff were “always careless about arrival times.”</t>
  </si>
  <si>
    <t xml:space="preserve">04/11/2026 11:00</t>
  </si>
  <si>
    <t xml:space="preserve">Complaint record extract; participant statement supplied verbatim.</t>
  </si>
  <si>
    <t xml:space="preserve">CAR-06</t>
  </si>
  <si>
    <t xml:space="preserve">Minor fall reported; immediate action and owner handoff completed.</t>
  </si>
  <si>
    <t xml:space="preserve">03/11/2026 14:00</t>
  </si>
  <si>
    <t xml:space="preserve">Immediate action completed.</t>
  </si>
  <si>
    <t xml:space="preserve">Owner handoff and closure note recorded.</t>
  </si>
  <si>
    <t xml:space="preserve">M15 — Capstone Invoice Evidence</t>
  </si>
  <si>
    <t xml:space="preserve">FICTIONAL TRAINING DATA. Neutral evidence only. Do not treat evidence text as the classification.</t>
  </si>
  <si>
    <t xml:space="preserve">Delivery / Evidence Note</t>
  </si>
  <si>
    <t xml:space="preserve">Service record shows one occurrence from 09:00–11:00; both invoice lines reference this same record.</t>
  </si>
  <si>
    <t xml:space="preserve">Service record shows delivery from 17:00–20:00.</t>
  </si>
  <si>
    <t xml:space="preserve">Service record shows delivery from 10:00–12:00.</t>
  </si>
  <si>
    <t xml:space="preserve">Service record shows delivery from 09:00–10:00.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</si>
</sst>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ddd\ d\ mmm\ yyyy"/>
    <numFmt numFmtId="166" formatCode="\$#,##0"/>
    <numFmt numFmtId="167" formatCode="0.0"/>
    <numFmt numFmtId="168" formatCode="dd/mm/yyyy"/>
    <numFmt numFmtId="169" formatCode="h:mm\ AM/PM"/>
    <numFmt numFmtId="170" formatCode="\$#,##0.00"/>
    <numFmt numFmtId="171" formatCode="0"/>
    <numFmt numFmtId="172" formatCode="hh:mm"/>
    <numFmt numFmtId="173" formatCode="yyyy\-mm\-dd\ h:mm:ss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5F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1F4E5F"/>
      <name val="Arial"/>
      <family val="0"/>
      <charset val="1"/>
    </font>
    <font>
      <b val="true"/>
      <sz val="11"/>
      <name val="Cambria"/>
      <family val="0"/>
      <charset val="1"/>
    </font>
    <font>
      <sz val="10"/>
      <color rgb="FFFFFFFF"/>
      <name val="Arial"/>
      <family val="0"/>
      <charset val="1"/>
    </font>
    <font>
      <b val="true"/>
      <sz val="14"/>
      <color rgb="FFFFFFF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i val="true"/>
      <sz val="10"/>
      <color rgb="FF000000"/>
      <name val="Arial"/>
      <family val="0"/>
      <charset val="1"/>
    </font>
    <font>
      <i val="true"/>
      <sz val="11"/>
      <color rgb="FF666666"/>
      <name val="Cambria"/>
      <family val="0"/>
      <charset val="1"/>
    </font>
    <font>
      <i val="true"/>
      <sz val="11"/>
      <color rgb="FF404040"/>
      <name val="Cambria"/>
      <family val="0"/>
      <charset val="1"/>
    </font>
    <font>
      <b val="true"/>
      <sz val="11"/>
      <color rgb="FF1A202C"/>
      <name val="Cambria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FF2CC"/>
        <bgColor rgb="FFF3E6C8"/>
      </patternFill>
    </fill>
    <fill>
      <patternFill patternType="solid">
        <fgColor rgb="FF1F4E5F"/>
        <bgColor rgb="FF1F4D3A"/>
      </patternFill>
    </fill>
    <fill>
      <patternFill patternType="solid">
        <fgColor rgb="FFEDEDED"/>
        <bgColor rgb="FFF3E6C8"/>
      </patternFill>
    </fill>
    <fill>
      <patternFill patternType="solid">
        <fgColor rgb="FF1F6F5B"/>
        <bgColor rgb="FF2F855A"/>
      </patternFill>
    </fill>
    <fill>
      <patternFill patternType="solid">
        <fgColor rgb="FF2F855A"/>
        <bgColor rgb="FF1F6F5B"/>
      </patternFill>
    </fill>
    <fill>
      <patternFill patternType="solid">
        <fgColor rgb="FF1F4D3A"/>
        <bgColor rgb="FF1F4E5F"/>
      </patternFill>
    </fill>
    <fill>
      <patternFill patternType="solid">
        <fgColor rgb="FFF3E6C8"/>
        <bgColor rgb="FFFFF2CC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E2E8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 diagonalUp="false" diagonalDown="false">
      <left/>
      <right/>
      <top/>
      <bottom style="thin">
        <color rgb="FFD9D2C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72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7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8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F855A"/>
          <bgColor rgb="FF000000"/>
        </patternFill>
      </fill>
    </dxf>
    <dxf>
      <fill>
        <patternFill patternType="solid">
          <fgColor rgb="FF1F6F5B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5B"/>
      <rgbColor rgb="FFBFBFBF"/>
      <rgbColor rgb="FF595959"/>
      <rgbColor rgb="FF9999FF"/>
      <rgbColor rgb="FF993366"/>
      <rgbColor rgb="FFFFF2CC"/>
      <rgbColor rgb="FFEDEDED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E8"/>
      <rgbColor rgb="FFCCFFCC"/>
      <rgbColor rgb="FFF3E6C8"/>
      <rgbColor rgb="FF99CCFF"/>
      <rgbColor rgb="FFFF99CC"/>
      <rgbColor rgb="FFCC99FF"/>
      <rgbColor rgb="FFD9D2C5"/>
      <rgbColor rgb="FF3366FF"/>
      <rgbColor rgb="FF38B2AC"/>
      <rgbColor rgb="FF99CC00"/>
      <rgbColor rgb="FFFFCC00"/>
      <rgbColor rgb="FFD9A441"/>
      <rgbColor rgb="FFFF6600"/>
      <rgbColor rgb="FF666666"/>
      <rgbColor rgb="FF969696"/>
      <rgbColor rgb="FF1F4E5F"/>
      <rgbColor rgb="FF2F855A"/>
      <rgbColor rgb="FF1F4D3A"/>
      <rgbColor rgb="FF1A202C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47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5F"/>
    <pageSetUpPr fitToPage="false"/>
  </sheetPr>
  <dimension ref="A1:D6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0"/>
    <col collapsed="false" customWidth="true" hidden="false" outlineLevel="0" max="4" min="2" style="1" width="42"/>
  </cols>
  <sheetData>
    <row r="1" customFormat="false" ht="19.5" hidden="false" customHeight="true" outlineLevel="0" collapsed="false">
      <c r="B1" s="2" t="s">
        <v>0</v>
      </c>
    </row>
    <row r="2" customFormat="false" ht="15" hidden="false" customHeight="true" outlineLevel="0" collapsed="false">
      <c r="B2" s="3" t="s">
        <v>1</v>
      </c>
    </row>
    <row r="4" customFormat="false" ht="21.75" hidden="false" customHeight="true" outlineLevel="0" collapsed="false">
      <c r="B4" s="4" t="s">
        <v>2</v>
      </c>
      <c r="C4" s="5" t="n">
        <v>46328</v>
      </c>
      <c r="D4" s="6" t="s">
        <v>3</v>
      </c>
    </row>
    <row r="5" customFormat="false" ht="15" hidden="false" customHeight="true" outlineLevel="0" collapsed="false">
      <c r="B5" s="4" t="s">
        <v>4</v>
      </c>
      <c r="C5" s="7" t="n">
        <v>60</v>
      </c>
      <c r="D5" s="6" t="s">
        <v>5</v>
      </c>
    </row>
    <row r="7" customFormat="false" ht="15" hidden="false" customHeight="true" outlineLevel="0" collapsed="false">
      <c r="B7" s="8" t="s">
        <v>6</v>
      </c>
    </row>
    <row r="8" customFormat="false" ht="15" hidden="false" customHeight="true" outlineLevel="0" collapsed="false">
      <c r="B8" s="9" t="s">
        <v>7</v>
      </c>
      <c r="C8" s="7" t="n">
        <v>22</v>
      </c>
      <c r="D8" s="10" t="s">
        <v>8</v>
      </c>
    </row>
    <row r="9" customFormat="false" ht="15" hidden="false" customHeight="true" outlineLevel="0" collapsed="false">
      <c r="B9" s="11" t="s">
        <v>9</v>
      </c>
      <c r="C9" s="7" t="s">
        <v>10</v>
      </c>
    </row>
    <row r="10" customFormat="false" ht="15" hidden="false" customHeight="true" outlineLevel="0" collapsed="false">
      <c r="B10" s="12" t="s">
        <v>11</v>
      </c>
      <c r="C10" s="7" t="s">
        <v>12</v>
      </c>
      <c r="D10" s="10" t="s">
        <v>13</v>
      </c>
    </row>
    <row r="11" customFormat="false" ht="15" hidden="false" customHeight="true" outlineLevel="0" collapsed="false">
      <c r="B11" s="7" t="s">
        <v>14</v>
      </c>
      <c r="C11" s="7" t="s">
        <v>15</v>
      </c>
    </row>
    <row r="12" customFormat="false" ht="15" hidden="false" customHeight="true" outlineLevel="0" collapsed="false">
      <c r="B12" s="13" t="s">
        <v>16</v>
      </c>
      <c r="C12" s="10" t="s">
        <v>17</v>
      </c>
      <c r="D12" s="10" t="s">
        <v>18</v>
      </c>
    </row>
    <row r="13" customFormat="false" ht="15" hidden="false" customHeight="true" outlineLevel="0" collapsed="false">
      <c r="A13" s="1" t="s">
        <v>19</v>
      </c>
      <c r="B13" s="1" t="s">
        <v>20</v>
      </c>
      <c r="C13" s="1" t="s">
        <v>21</v>
      </c>
    </row>
    <row r="14" customFormat="false" ht="15" hidden="false" customHeight="true" outlineLevel="0" collapsed="false">
      <c r="A14" s="1" t="s">
        <v>19</v>
      </c>
      <c r="B14" s="1" t="s">
        <v>22</v>
      </c>
      <c r="C14" s="1" t="s">
        <v>23</v>
      </c>
    </row>
    <row r="15" customFormat="false" ht="15" hidden="false" customHeight="true" outlineLevel="0" collapsed="false">
      <c r="A15" s="1" t="s">
        <v>19</v>
      </c>
      <c r="B15" s="1" t="s">
        <v>24</v>
      </c>
      <c r="C15" s="1" t="s">
        <v>25</v>
      </c>
    </row>
    <row r="16" customFormat="false" ht="15" hidden="false" customHeight="true" outlineLevel="0" collapsed="false">
      <c r="A16" s="1" t="s">
        <v>19</v>
      </c>
      <c r="B16" s="1" t="s">
        <v>26</v>
      </c>
      <c r="C16" s="1" t="s">
        <v>27</v>
      </c>
    </row>
    <row r="17" customFormat="false" ht="15" hidden="false" customHeight="true" outlineLevel="0" collapsed="false">
      <c r="A17" s="1" t="s">
        <v>19</v>
      </c>
      <c r="B17" s="1" t="s">
        <v>28</v>
      </c>
      <c r="C17" s="1" t="s">
        <v>29</v>
      </c>
    </row>
    <row r="18" customFormat="false" ht="15" hidden="false" customHeight="true" outlineLevel="0" collapsed="false">
      <c r="A18" s="1" t="s">
        <v>19</v>
      </c>
      <c r="B18" s="1" t="s">
        <v>30</v>
      </c>
      <c r="C18" s="1" t="s">
        <v>31</v>
      </c>
    </row>
    <row r="19" customFormat="false" ht="15" hidden="false" customHeight="true" outlineLevel="0" collapsed="false">
      <c r="A19" s="1" t="s">
        <v>19</v>
      </c>
      <c r="B19" s="1" t="s">
        <v>32</v>
      </c>
      <c r="C19" s="1" t="s">
        <v>33</v>
      </c>
    </row>
    <row r="20" customFormat="false" ht="15" hidden="false" customHeight="true" outlineLevel="0" collapsed="false">
      <c r="A20" s="1" t="s">
        <v>19</v>
      </c>
      <c r="B20" s="1" t="s">
        <v>34</v>
      </c>
      <c r="C20" s="1" t="s">
        <v>35</v>
      </c>
    </row>
    <row r="21" customFormat="false" ht="15" hidden="false" customHeight="true" outlineLevel="0" collapsed="false">
      <c r="A21" s="1" t="s">
        <v>19</v>
      </c>
      <c r="B21" s="1" t="s">
        <v>36</v>
      </c>
      <c r="C21" s="1" t="s">
        <v>37</v>
      </c>
    </row>
    <row r="22" customFormat="false" ht="15" hidden="false" customHeight="true" outlineLevel="0" collapsed="false">
      <c r="A22" s="1" t="s">
        <v>19</v>
      </c>
      <c r="B22" s="1" t="s">
        <v>38</v>
      </c>
      <c r="C22" s="1" t="s">
        <v>39</v>
      </c>
    </row>
    <row r="23" customFormat="false" ht="15" hidden="false" customHeight="true" outlineLevel="0" collapsed="false">
      <c r="A23" s="1" t="s">
        <v>19</v>
      </c>
      <c r="B23" s="1" t="s">
        <v>40</v>
      </c>
      <c r="C23" s="1" t="s">
        <v>41</v>
      </c>
    </row>
    <row r="24" customFormat="false" ht="15" hidden="false" customHeight="true" outlineLevel="0" collapsed="false">
      <c r="A24" s="1" t="s">
        <v>19</v>
      </c>
      <c r="B24" s="1" t="s">
        <v>42</v>
      </c>
      <c r="C24" s="1" t="s">
        <v>43</v>
      </c>
    </row>
    <row r="25" customFormat="false" ht="15" hidden="false" customHeight="true" outlineLevel="0" collapsed="false">
      <c r="A25" s="1" t="s">
        <v>19</v>
      </c>
      <c r="B25" s="1" t="s">
        <v>44</v>
      </c>
      <c r="C25" s="1" t="s">
        <v>45</v>
      </c>
    </row>
    <row r="26" customFormat="false" ht="15" hidden="false" customHeight="true" outlineLevel="0" collapsed="false">
      <c r="A26" s="1" t="s">
        <v>19</v>
      </c>
      <c r="B26" s="1" t="s">
        <v>46</v>
      </c>
      <c r="C26" s="1" t="s">
        <v>47</v>
      </c>
    </row>
    <row r="27" customFormat="false" ht="15" hidden="false" customHeight="true" outlineLevel="0" collapsed="false">
      <c r="A27" s="1" t="s">
        <v>19</v>
      </c>
      <c r="B27" s="1" t="s">
        <v>48</v>
      </c>
      <c r="C27" s="1" t="s">
        <v>49</v>
      </c>
    </row>
    <row r="28" customFormat="false" ht="15" hidden="false" customHeight="true" outlineLevel="0" collapsed="false">
      <c r="A28" s="1" t="s">
        <v>19</v>
      </c>
      <c r="B28" s="1" t="s">
        <v>50</v>
      </c>
      <c r="C28" s="1" t="s">
        <v>51</v>
      </c>
    </row>
    <row r="29" customFormat="false" ht="15" hidden="false" customHeight="true" outlineLevel="0" collapsed="false">
      <c r="A29" s="1" t="s">
        <v>19</v>
      </c>
      <c r="B29" s="1" t="s">
        <v>52</v>
      </c>
      <c r="C29" s="1" t="s">
        <v>53</v>
      </c>
    </row>
    <row r="30" customFormat="false" ht="15" hidden="false" customHeight="true" outlineLevel="0" collapsed="false">
      <c r="A30" s="1" t="s">
        <v>19</v>
      </c>
      <c r="B30" s="1" t="s">
        <v>54</v>
      </c>
      <c r="C30" s="1" t="s">
        <v>55</v>
      </c>
    </row>
    <row r="31" customFormat="false" ht="15" hidden="false" customHeight="true" outlineLevel="0" collapsed="false">
      <c r="A31" s="1" t="s">
        <v>19</v>
      </c>
      <c r="B31" s="1" t="s">
        <v>56</v>
      </c>
      <c r="C31" s="1" t="s">
        <v>57</v>
      </c>
    </row>
    <row r="32" customFormat="false" ht="15" hidden="false" customHeight="true" outlineLevel="0" collapsed="false">
      <c r="A32" s="1" t="s">
        <v>19</v>
      </c>
      <c r="B32" s="1" t="s">
        <v>58</v>
      </c>
      <c r="C32" s="1" t="s">
        <v>59</v>
      </c>
    </row>
    <row r="33" customFormat="false" ht="27.75" hidden="false" customHeight="true" outlineLevel="0" collapsed="false">
      <c r="A33" s="1" t="s">
        <v>19</v>
      </c>
      <c r="B33" s="1" t="s">
        <v>60</v>
      </c>
      <c r="C33" s="1" t="s">
        <v>61</v>
      </c>
    </row>
    <row r="34" customFormat="false" ht="27.75" hidden="false" customHeight="true" outlineLevel="0" collapsed="false">
      <c r="A34" s="1" t="s">
        <v>19</v>
      </c>
      <c r="B34" s="1" t="s">
        <v>62</v>
      </c>
      <c r="C34" s="1" t="s">
        <v>63</v>
      </c>
    </row>
    <row r="35" customFormat="false" ht="27.75" hidden="false" customHeight="true" outlineLevel="0" collapsed="false">
      <c r="A35" s="1" t="s">
        <v>19</v>
      </c>
      <c r="B35" s="1" t="s">
        <v>64</v>
      </c>
      <c r="C35" s="1" t="s">
        <v>65</v>
      </c>
    </row>
    <row r="36" customFormat="false" ht="27.75" hidden="false" customHeight="true" outlineLevel="0" collapsed="false">
      <c r="A36" s="1" t="s">
        <v>19</v>
      </c>
      <c r="B36" s="1" t="s">
        <v>66</v>
      </c>
      <c r="C36" s="1" t="s">
        <v>67</v>
      </c>
    </row>
    <row r="37" customFormat="false" ht="15" hidden="false" customHeight="true" outlineLevel="0" collapsed="false">
      <c r="A37" s="1" t="s">
        <v>19</v>
      </c>
      <c r="B37" s="1" t="s">
        <v>68</v>
      </c>
      <c r="C37" s="1" t="s">
        <v>69</v>
      </c>
    </row>
    <row r="38" customFormat="false" ht="15" hidden="false" customHeight="true" outlineLevel="0" collapsed="false">
      <c r="A38" s="1" t="s">
        <v>19</v>
      </c>
      <c r="B38" s="1" t="s">
        <v>70</v>
      </c>
      <c r="C38" s="1" t="s">
        <v>71</v>
      </c>
    </row>
    <row r="39" customFormat="false" ht="15" hidden="false" customHeight="true" outlineLevel="0" collapsed="false">
      <c r="A39" s="1" t="s">
        <v>19</v>
      </c>
      <c r="B39" s="1" t="s">
        <v>72</v>
      </c>
      <c r="C39" s="1" t="s">
        <v>73</v>
      </c>
    </row>
    <row r="40" customFormat="false" ht="15" hidden="false" customHeight="true" outlineLevel="0" collapsed="false">
      <c r="A40" s="1" t="s">
        <v>19</v>
      </c>
      <c r="B40" s="1" t="s">
        <v>74</v>
      </c>
      <c r="C40" s="1" t="s">
        <v>75</v>
      </c>
    </row>
    <row r="41" customFormat="false" ht="15" hidden="false" customHeight="true" outlineLevel="0" collapsed="false">
      <c r="A41" s="1" t="s">
        <v>19</v>
      </c>
      <c r="B41" s="1" t="s">
        <v>76</v>
      </c>
      <c r="C41" s="1" t="s">
        <v>77</v>
      </c>
    </row>
    <row r="42" customFormat="false" ht="15" hidden="false" customHeight="true" outlineLevel="0" collapsed="false">
      <c r="A42" s="1" t="s">
        <v>19</v>
      </c>
      <c r="B42" s="1" t="s">
        <v>78</v>
      </c>
      <c r="C42" s="1" t="s">
        <v>79</v>
      </c>
    </row>
    <row r="43" customFormat="false" ht="15" hidden="false" customHeight="true" outlineLevel="0" collapsed="false">
      <c r="A43" s="1" t="s">
        <v>19</v>
      </c>
      <c r="B43" s="1" t="s">
        <v>80</v>
      </c>
      <c r="C43" s="1" t="s">
        <v>81</v>
      </c>
    </row>
    <row r="44" customFormat="false" ht="15" hidden="false" customHeight="true" outlineLevel="0" collapsed="false">
      <c r="A44" s="1" t="s">
        <v>19</v>
      </c>
      <c r="B44" s="1" t="s">
        <v>82</v>
      </c>
      <c r="C44" s="1" t="s">
        <v>83</v>
      </c>
    </row>
    <row r="45" customFormat="false" ht="15" hidden="false" customHeight="true" outlineLevel="0" collapsed="false">
      <c r="A45" s="1" t="s">
        <v>19</v>
      </c>
      <c r="B45" s="1" t="s">
        <v>84</v>
      </c>
      <c r="C45" s="1" t="s">
        <v>85</v>
      </c>
    </row>
    <row r="46" customFormat="false" ht="15" hidden="false" customHeight="true" outlineLevel="0" collapsed="false">
      <c r="A46" s="1" t="s">
        <v>19</v>
      </c>
      <c r="B46" s="1" t="s">
        <v>86</v>
      </c>
      <c r="C46" s="1" t="s">
        <v>87</v>
      </c>
    </row>
    <row r="47" customFormat="false" ht="15" hidden="false" customHeight="true" outlineLevel="0" collapsed="false">
      <c r="A47" s="1" t="s">
        <v>19</v>
      </c>
      <c r="B47" s="1" t="s">
        <v>88</v>
      </c>
      <c r="C47" s="1" t="s">
        <v>89</v>
      </c>
    </row>
    <row r="48" customFormat="false" ht="15" hidden="false" customHeight="true" outlineLevel="0" collapsed="false">
      <c r="A48" s="1" t="s">
        <v>19</v>
      </c>
      <c r="B48" s="1" t="s">
        <v>90</v>
      </c>
      <c r="C48" s="1" t="s">
        <v>91</v>
      </c>
    </row>
    <row r="49" customFormat="false" ht="41.25" hidden="false" customHeight="true" outlineLevel="0" collapsed="false">
      <c r="A49" s="1" t="s">
        <v>19</v>
      </c>
      <c r="B49" s="1" t="s">
        <v>92</v>
      </c>
      <c r="C49" s="1" t="s">
        <v>93</v>
      </c>
    </row>
    <row r="50" customFormat="false" ht="41.25" hidden="false" customHeight="true" outlineLevel="0" collapsed="false">
      <c r="A50" s="1" t="s">
        <v>19</v>
      </c>
      <c r="B50" s="1" t="s">
        <v>94</v>
      </c>
      <c r="C50" s="1" t="s">
        <v>95</v>
      </c>
    </row>
    <row r="51" customFormat="false" ht="15" hidden="false" customHeight="true" outlineLevel="0" collapsed="false">
      <c r="A51" s="1" t="s">
        <v>19</v>
      </c>
      <c r="B51" s="1" t="s">
        <v>96</v>
      </c>
      <c r="C51" s="1" t="s">
        <v>97</v>
      </c>
    </row>
    <row r="52" customFormat="false" ht="15" hidden="false" customHeight="true" outlineLevel="0" collapsed="false">
      <c r="A52" s="1" t="s">
        <v>19</v>
      </c>
      <c r="B52" s="1" t="s">
        <v>98</v>
      </c>
      <c r="C52" s="1" t="s">
        <v>99</v>
      </c>
    </row>
    <row r="53" customFormat="false" ht="15" hidden="false" customHeight="true" outlineLevel="0" collapsed="false">
      <c r="A53" s="1" t="s">
        <v>19</v>
      </c>
      <c r="B53" s="1" t="s">
        <v>100</v>
      </c>
      <c r="C53" s="1" t="s">
        <v>101</v>
      </c>
    </row>
    <row r="54" customFormat="false" ht="15" hidden="false" customHeight="true" outlineLevel="0" collapsed="false">
      <c r="A54" s="1" t="s">
        <v>19</v>
      </c>
      <c r="B54" s="1" t="s">
        <v>102</v>
      </c>
      <c r="C54" s="1" t="s">
        <v>103</v>
      </c>
    </row>
    <row r="55" customFormat="false" ht="15" hidden="false" customHeight="true" outlineLevel="0" collapsed="false">
      <c r="A55" s="1" t="s">
        <v>19</v>
      </c>
      <c r="B55" s="1" t="s">
        <v>104</v>
      </c>
      <c r="C55" s="1" t="s">
        <v>105</v>
      </c>
    </row>
    <row r="56" customFormat="false" ht="15" hidden="false" customHeight="true" outlineLevel="0" collapsed="false">
      <c r="A56" s="1" t="s">
        <v>19</v>
      </c>
      <c r="B56" s="1" t="s">
        <v>106</v>
      </c>
      <c r="C56" s="1" t="s">
        <v>107</v>
      </c>
    </row>
    <row r="57" customFormat="false" ht="15" hidden="false" customHeight="true" outlineLevel="0" collapsed="false">
      <c r="A57" s="1" t="s">
        <v>19</v>
      </c>
      <c r="B57" s="1" t="s">
        <v>108</v>
      </c>
      <c r="C57" s="1" t="s">
        <v>109</v>
      </c>
    </row>
    <row r="58" customFormat="false" ht="15" hidden="false" customHeight="true" outlineLevel="0" collapsed="false">
      <c r="A58" s="1" t="s">
        <v>19</v>
      </c>
      <c r="B58" s="1" t="s">
        <v>110</v>
      </c>
      <c r="C58" s="1" t="s">
        <v>111</v>
      </c>
    </row>
    <row r="59" customFormat="false" ht="15" hidden="false" customHeight="true" outlineLevel="0" collapsed="false">
      <c r="A59" s="1" t="s">
        <v>19</v>
      </c>
      <c r="B59" s="1" t="s">
        <v>112</v>
      </c>
      <c r="C59" s="1" t="s">
        <v>21</v>
      </c>
    </row>
    <row r="60" customFormat="false" ht="15" hidden="false" customHeight="true" outlineLevel="0" collapsed="false">
      <c r="A60" s="1" t="s">
        <v>19</v>
      </c>
      <c r="B60" s="1" t="s">
        <v>113</v>
      </c>
      <c r="C60" s="1" t="s">
        <v>114</v>
      </c>
    </row>
    <row r="61" customFormat="false" ht="15" hidden="false" customHeight="true" outlineLevel="0" collapsed="false">
      <c r="A61" s="1" t="s">
        <v>19</v>
      </c>
      <c r="B61" s="1" t="s">
        <v>115</v>
      </c>
      <c r="C61" s="1" t="s">
        <v>116</v>
      </c>
    </row>
    <row r="62" customFormat="false" ht="15" hidden="false" customHeight="true" outlineLevel="0" collapsed="false">
      <c r="A62" s="1" t="s">
        <v>19</v>
      </c>
      <c r="B62" s="1" t="s">
        <v>117</v>
      </c>
      <c r="C62" s="1" t="s">
        <v>118</v>
      </c>
    </row>
    <row r="63" customFormat="false" ht="15" hidden="false" customHeight="true" outlineLevel="0" collapsed="false">
      <c r="A63" s="1" t="s">
        <v>19</v>
      </c>
      <c r="B63" s="1" t="s">
        <v>119</v>
      </c>
      <c r="C63" s="1" t="s">
        <v>120</v>
      </c>
    </row>
    <row r="64" customFormat="false" ht="15" hidden="false" customHeight="true" outlineLevel="0" collapsed="false">
      <c r="A64" s="1" t="s">
        <v>19</v>
      </c>
      <c r="B64" s="1" t="s">
        <v>121</v>
      </c>
      <c r="C64" s="1" t="s">
        <v>122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8B2AC"/>
    <pageSetUpPr fitToPage="false"/>
  </sheetPr>
  <dimension ref="A1:B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1" width="42"/>
  </cols>
  <sheetData>
    <row r="1" customFormat="false" ht="17.25" hidden="false" customHeight="true" outlineLevel="0" collapsed="false">
      <c r="A1" s="14" t="s">
        <v>123</v>
      </c>
    </row>
    <row r="2" customFormat="false" ht="15" hidden="false" customHeight="true" outlineLevel="0" collapsed="false">
      <c r="A2" s="15" t="s">
        <v>124</v>
      </c>
    </row>
    <row r="3" customFormat="false" ht="33.75" hidden="false" customHeight="true" outlineLevel="0" collapsed="false">
      <c r="A3" s="16" t="s">
        <v>125</v>
      </c>
      <c r="B3" s="16" t="s">
        <v>126</v>
      </c>
    </row>
    <row r="4" customFormat="false" ht="15" hidden="false" customHeight="true" outlineLevel="0" collapsed="false">
      <c r="A4" s="4" t="s">
        <v>127</v>
      </c>
      <c r="B4" s="7" t="s">
        <v>128</v>
      </c>
    </row>
    <row r="5" customFormat="false" ht="15" hidden="false" customHeight="true" outlineLevel="0" collapsed="false">
      <c r="A5" s="4" t="s">
        <v>129</v>
      </c>
      <c r="B5" s="7" t="s">
        <v>130</v>
      </c>
    </row>
    <row r="6" customFormat="false" ht="15" hidden="false" customHeight="true" outlineLevel="0" collapsed="false">
      <c r="A6" s="4" t="s">
        <v>131</v>
      </c>
      <c r="B6" s="7" t="s">
        <v>132</v>
      </c>
    </row>
    <row r="7" customFormat="false" ht="23.25" hidden="false" customHeight="true" outlineLevel="0" collapsed="false">
      <c r="A7" s="4" t="s">
        <v>133</v>
      </c>
      <c r="B7" s="7" t="s">
        <v>134</v>
      </c>
    </row>
    <row r="8" customFormat="false" ht="15" hidden="false" customHeight="true" outlineLevel="0" collapsed="false">
      <c r="A8" s="4" t="s">
        <v>24</v>
      </c>
      <c r="B8" s="7" t="s">
        <v>135</v>
      </c>
    </row>
    <row r="9" customFormat="false" ht="15" hidden="false" customHeight="true" outlineLevel="0" collapsed="false">
      <c r="A9" s="4" t="s">
        <v>136</v>
      </c>
      <c r="B9" s="7" t="s">
        <v>137</v>
      </c>
    </row>
    <row r="10" customFormat="false" ht="15" hidden="false" customHeight="true" outlineLevel="0" collapsed="false">
      <c r="A10" s="4" t="s">
        <v>138</v>
      </c>
      <c r="B10" s="7" t="s">
        <v>139</v>
      </c>
    </row>
    <row r="11" customFormat="false" ht="23.25" hidden="false" customHeight="true" outlineLevel="0" collapsed="false">
      <c r="A11" s="4" t="s">
        <v>140</v>
      </c>
      <c r="B11" s="7" t="s">
        <v>141</v>
      </c>
    </row>
    <row r="12" customFormat="false" ht="23.25" hidden="false" customHeight="true" outlineLevel="0" collapsed="false">
      <c r="A12" s="4" t="s">
        <v>142</v>
      </c>
      <c r="B12" s="7" t="s">
        <v>143</v>
      </c>
    </row>
    <row r="13" customFormat="false" ht="23.25" hidden="false" customHeight="true" outlineLevel="0" collapsed="false">
      <c r="A13" s="4" t="s">
        <v>144</v>
      </c>
      <c r="B13" s="7" t="s">
        <v>145</v>
      </c>
    </row>
    <row r="14" customFormat="false" ht="23.25" hidden="false" customHeight="true" outlineLevel="0" collapsed="false">
      <c r="A14" s="4" t="s">
        <v>146</v>
      </c>
      <c r="B14" s="7" t="s">
        <v>147</v>
      </c>
    </row>
    <row r="16" customFormat="false" ht="41.25" hidden="false" customHeight="true" outlineLevel="0" collapsed="false">
      <c r="A16" s="10" t="s">
        <v>148</v>
      </c>
      <c r="B16" s="10" t="s">
        <v>149</v>
      </c>
    </row>
    <row r="17" customFormat="false" ht="41.25" hidden="false" customHeight="true" outlineLevel="0" collapsed="false">
      <c r="A17" s="10" t="s">
        <v>150</v>
      </c>
      <c r="B17" s="10" t="s">
        <v>151</v>
      </c>
    </row>
    <row r="18" customFormat="false" ht="15" hidden="false" customHeight="true" outlineLevel="0" collapsed="false">
      <c r="A18" s="10" t="s">
        <v>152</v>
      </c>
      <c r="B18" s="10" t="s">
        <v>153</v>
      </c>
    </row>
    <row r="19" customFormat="false" ht="41.25" hidden="false" customHeight="true" outlineLevel="0" collapsed="false">
      <c r="A19" s="10" t="s">
        <v>154</v>
      </c>
      <c r="B19" s="10" t="s">
        <v>155</v>
      </c>
    </row>
    <row r="20" customFormat="false" ht="41.25" hidden="false" customHeight="true" outlineLevel="0" collapsed="false">
      <c r="A20" s="10" t="s">
        <v>156</v>
      </c>
      <c r="B20" s="10" t="s">
        <v>157</v>
      </c>
    </row>
    <row r="21" customFormat="false" ht="54.75" hidden="false" customHeight="true" outlineLevel="0" collapsed="false">
      <c r="A21" s="10" t="s">
        <v>158</v>
      </c>
      <c r="B21" s="10" t="s">
        <v>159</v>
      </c>
    </row>
    <row r="22" customFormat="false" ht="27.75" hidden="false" customHeight="true" outlineLevel="0" collapsed="false">
      <c r="A22" s="10" t="s">
        <v>160</v>
      </c>
      <c r="B22" s="10" t="s">
        <v>161</v>
      </c>
    </row>
    <row r="23" customFormat="false" ht="15" hidden="false" customHeight="true" outlineLevel="0" collapsed="false">
      <c r="A23" s="1" t="s">
        <v>162</v>
      </c>
      <c r="B23" s="1" t="s">
        <v>163</v>
      </c>
    </row>
    <row r="24" customFormat="false" ht="15" hidden="false" customHeight="true" outlineLevel="0" collapsed="false">
      <c r="A24" s="1" t="s">
        <v>164</v>
      </c>
      <c r="B24" s="1" t="s">
        <v>165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A441"/>
    <pageSetUpPr fitToPage="false"/>
  </sheetPr>
  <dimension ref="A1:I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8"/>
    <col collapsed="false" customWidth="true" hidden="false" outlineLevel="0" max="3" min="3" style="1" width="12"/>
    <col collapsed="false" customWidth="true" hidden="false" outlineLevel="0" max="4" min="4" style="1" width="17"/>
    <col collapsed="false" customWidth="true" hidden="false" outlineLevel="0" max="5" min="5" style="1" width="42"/>
    <col collapsed="false" customWidth="true" hidden="false" outlineLevel="0" max="6" min="6" style="1" width="25"/>
    <col collapsed="false" customWidth="true" hidden="false" outlineLevel="0" max="9" min="7" style="1" width="21"/>
  </cols>
  <sheetData>
    <row r="1" customFormat="false" ht="17.25" hidden="false" customHeight="true" outlineLevel="0" collapsed="false">
      <c r="A1" s="14" t="s">
        <v>166</v>
      </c>
    </row>
    <row r="2" customFormat="false" ht="15" hidden="false" customHeight="true" outlineLevel="0" collapsed="false">
      <c r="A2" s="15" t="s">
        <v>167</v>
      </c>
    </row>
    <row r="3" customFormat="false" ht="33.75" hidden="false" customHeight="true" outlineLevel="0" collapsed="false">
      <c r="A3" s="16" t="s">
        <v>168</v>
      </c>
      <c r="B3" s="16" t="s">
        <v>169</v>
      </c>
      <c r="C3" s="16" t="s">
        <v>170</v>
      </c>
      <c r="D3" s="16" t="s">
        <v>171</v>
      </c>
      <c r="E3" s="16" t="s">
        <v>172</v>
      </c>
      <c r="F3" s="16" t="s">
        <v>173</v>
      </c>
      <c r="G3" s="16" t="s">
        <v>174</v>
      </c>
      <c r="H3" s="16" t="s">
        <v>175</v>
      </c>
      <c r="I3" s="16" t="s">
        <v>176</v>
      </c>
    </row>
    <row r="4" customFormat="false" ht="15" hidden="false" customHeight="true" outlineLevel="0" collapsed="false">
      <c r="A4" s="7" t="s">
        <v>177</v>
      </c>
      <c r="B4" s="7" t="s">
        <v>178</v>
      </c>
      <c r="C4" s="7" t="s">
        <v>179</v>
      </c>
      <c r="D4" s="7" t="s">
        <v>180</v>
      </c>
      <c r="E4" s="7" t="s">
        <v>181</v>
      </c>
      <c r="F4" s="7" t="s">
        <v>182</v>
      </c>
      <c r="G4" s="5" t="n">
        <v>46456</v>
      </c>
      <c r="H4" s="7" t="s">
        <v>183</v>
      </c>
      <c r="I4" s="17" t="n">
        <v>6200</v>
      </c>
    </row>
    <row r="5" customFormat="false" ht="15" hidden="false" customHeight="true" outlineLevel="0" collapsed="false">
      <c r="A5" s="7" t="s">
        <v>184</v>
      </c>
      <c r="B5" s="7" t="s">
        <v>185</v>
      </c>
      <c r="C5" s="7" t="s">
        <v>179</v>
      </c>
      <c r="D5" s="7" t="s">
        <v>186</v>
      </c>
      <c r="E5" s="7" t="s">
        <v>187</v>
      </c>
      <c r="F5" s="7" t="s">
        <v>188</v>
      </c>
      <c r="G5" s="5" t="n">
        <v>46407</v>
      </c>
      <c r="H5" s="7" t="s">
        <v>183</v>
      </c>
      <c r="I5" s="17" t="n">
        <v>3100</v>
      </c>
    </row>
    <row r="6" customFormat="false" ht="15" hidden="false" customHeight="true" outlineLevel="0" collapsed="false">
      <c r="A6" s="7" t="s">
        <v>189</v>
      </c>
      <c r="B6" s="7" t="s">
        <v>190</v>
      </c>
      <c r="C6" s="7" t="s">
        <v>179</v>
      </c>
      <c r="D6" s="7" t="s">
        <v>191</v>
      </c>
      <c r="E6" s="7" t="s">
        <v>192</v>
      </c>
      <c r="F6" s="7" t="s">
        <v>193</v>
      </c>
      <c r="G6" s="5" t="n">
        <v>46370</v>
      </c>
      <c r="H6" s="7" t="s">
        <v>183</v>
      </c>
      <c r="I6" s="17" t="n">
        <v>2800</v>
      </c>
    </row>
    <row r="7" customFormat="false" ht="15" hidden="false" customHeight="true" outlineLevel="0" collapsed="false">
      <c r="A7" s="7" t="s">
        <v>194</v>
      </c>
      <c r="B7" s="7" t="s">
        <v>195</v>
      </c>
      <c r="C7" s="7" t="s">
        <v>179</v>
      </c>
      <c r="D7" s="7" t="s">
        <v>180</v>
      </c>
      <c r="E7" s="7" t="s">
        <v>196</v>
      </c>
      <c r="F7" s="7" t="s">
        <v>182</v>
      </c>
      <c r="G7" s="5" t="n">
        <v>46512</v>
      </c>
      <c r="H7" s="7" t="s">
        <v>183</v>
      </c>
      <c r="I7" s="17" t="n">
        <v>7400</v>
      </c>
    </row>
    <row r="8" customFormat="false" ht="15" hidden="false" customHeight="true" outlineLevel="0" collapsed="false">
      <c r="A8" s="7" t="s">
        <v>197</v>
      </c>
      <c r="B8" s="7" t="s">
        <v>198</v>
      </c>
      <c r="C8" s="7" t="s">
        <v>179</v>
      </c>
      <c r="D8" s="7" t="s">
        <v>186</v>
      </c>
      <c r="E8" s="7" t="s">
        <v>199</v>
      </c>
      <c r="F8" s="7" t="s">
        <v>188</v>
      </c>
      <c r="G8" s="5" t="n">
        <v>46499</v>
      </c>
      <c r="H8" s="7" t="s">
        <v>183</v>
      </c>
      <c r="I8" s="17" t="n">
        <v>5100</v>
      </c>
    </row>
    <row r="9" customFormat="false" ht="15" hidden="false" customHeight="true" outlineLevel="0" collapsed="false">
      <c r="A9" s="7" t="s">
        <v>200</v>
      </c>
      <c r="B9" s="7" t="s">
        <v>201</v>
      </c>
      <c r="C9" s="7" t="s">
        <v>179</v>
      </c>
      <c r="D9" s="7" t="s">
        <v>191</v>
      </c>
      <c r="E9" s="7" t="s">
        <v>202</v>
      </c>
      <c r="F9" s="7" t="s">
        <v>188</v>
      </c>
      <c r="G9" s="5" t="n">
        <v>46568</v>
      </c>
      <c r="H9" s="7" t="s">
        <v>183</v>
      </c>
      <c r="I9" s="17" t="n">
        <v>9800</v>
      </c>
    </row>
    <row r="10" customFormat="false" ht="15" hidden="false" customHeight="true" outlineLevel="0" collapsed="false">
      <c r="A10" s="7" t="s">
        <v>203</v>
      </c>
      <c r="B10" s="7" t="s">
        <v>204</v>
      </c>
      <c r="C10" s="7" t="s">
        <v>179</v>
      </c>
      <c r="D10" s="7" t="s">
        <v>180</v>
      </c>
      <c r="E10" s="7" t="s">
        <v>205</v>
      </c>
      <c r="F10" s="7" t="s">
        <v>206</v>
      </c>
      <c r="G10" s="5" t="n">
        <v>46419</v>
      </c>
      <c r="H10" s="7" t="s">
        <v>207</v>
      </c>
      <c r="I10" s="17" t="n">
        <v>2300</v>
      </c>
    </row>
    <row r="11" customFormat="false" ht="15" hidden="false" customHeight="true" outlineLevel="0" collapsed="false">
      <c r="A11" s="7" t="s">
        <v>208</v>
      </c>
      <c r="B11" s="7" t="s">
        <v>209</v>
      </c>
      <c r="C11" s="7" t="s">
        <v>210</v>
      </c>
      <c r="D11" s="7" t="s">
        <v>180</v>
      </c>
      <c r="E11" s="7" t="s">
        <v>211</v>
      </c>
      <c r="F11" s="7" t="s">
        <v>188</v>
      </c>
      <c r="G11" s="5" t="n">
        <v>46464</v>
      </c>
      <c r="H11" s="7" t="s">
        <v>183</v>
      </c>
      <c r="I11" s="17" t="n">
        <v>4600</v>
      </c>
    </row>
    <row r="12" customFormat="false" ht="15" hidden="false" customHeight="true" outlineLevel="0" collapsed="false">
      <c r="A12" s="7" t="s">
        <v>212</v>
      </c>
      <c r="B12" s="7" t="s">
        <v>213</v>
      </c>
      <c r="C12" s="7" t="s">
        <v>179</v>
      </c>
      <c r="D12" s="7" t="s">
        <v>214</v>
      </c>
      <c r="E12" s="7" t="s">
        <v>214</v>
      </c>
      <c r="F12" s="7" t="s">
        <v>214</v>
      </c>
      <c r="G12" s="18"/>
      <c r="H12" s="7" t="s">
        <v>215</v>
      </c>
      <c r="I12" s="19"/>
    </row>
    <row r="13" customFormat="false" ht="15" hidden="false" customHeight="true" outlineLevel="0" collapsed="false">
      <c r="A13" s="7" t="s">
        <v>216</v>
      </c>
      <c r="B13" s="7" t="s">
        <v>217</v>
      </c>
      <c r="C13" s="7" t="s">
        <v>179</v>
      </c>
      <c r="D13" s="7" t="s">
        <v>191</v>
      </c>
      <c r="E13" s="7" t="s">
        <v>192</v>
      </c>
      <c r="F13" s="7" t="s">
        <v>206</v>
      </c>
      <c r="G13" s="5" t="n">
        <v>46395</v>
      </c>
      <c r="H13" s="7" t="s">
        <v>183</v>
      </c>
      <c r="I13" s="17" t="n">
        <v>1900</v>
      </c>
    </row>
    <row r="14" customFormat="false" ht="15" hidden="false" customHeight="true" outlineLevel="0" collapsed="false">
      <c r="A14" s="7" t="s">
        <v>218</v>
      </c>
      <c r="B14" s="7" t="s">
        <v>219</v>
      </c>
      <c r="C14" s="7" t="s">
        <v>179</v>
      </c>
      <c r="D14" s="7" t="s">
        <v>186</v>
      </c>
      <c r="E14" s="7" t="s">
        <v>202</v>
      </c>
      <c r="F14" s="7" t="s">
        <v>188</v>
      </c>
      <c r="G14" s="5" t="n">
        <v>46534</v>
      </c>
      <c r="H14" s="7" t="s">
        <v>183</v>
      </c>
      <c r="I14" s="17" t="n">
        <v>8200</v>
      </c>
    </row>
    <row r="15" customFormat="false" ht="15" hidden="false" customHeight="true" outlineLevel="0" collapsed="false">
      <c r="A15" s="7" t="s">
        <v>220</v>
      </c>
      <c r="B15" s="7" t="s">
        <v>221</v>
      </c>
      <c r="C15" s="7" t="s">
        <v>179</v>
      </c>
      <c r="D15" s="7" t="s">
        <v>180</v>
      </c>
      <c r="E15" s="7" t="s">
        <v>222</v>
      </c>
      <c r="F15" s="7" t="s">
        <v>182</v>
      </c>
      <c r="G15" s="5" t="n">
        <v>46444</v>
      </c>
      <c r="H15" s="7" t="s">
        <v>183</v>
      </c>
      <c r="I15" s="17" t="n">
        <v>420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5F"/>
    <pageSetUpPr fitToPage="false"/>
  </sheetPr>
  <dimension ref="A1:M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8"/>
    <col collapsed="false" customWidth="true" hidden="false" outlineLevel="0" max="3" min="3" style="1" width="37"/>
    <col collapsed="false" customWidth="true" hidden="false" outlineLevel="0" max="4" min="4" style="1" width="16"/>
    <col collapsed="false" customWidth="true" hidden="false" outlineLevel="0" max="6" min="5" style="1" width="12"/>
    <col collapsed="false" customWidth="true" hidden="false" outlineLevel="0" max="7" min="7" style="1" width="20"/>
    <col collapsed="false" customWidth="true" hidden="false" outlineLevel="0" max="10" min="8" style="1" width="21"/>
    <col collapsed="false" customWidth="true" hidden="false" outlineLevel="0" max="13" min="11" style="1" width="42"/>
  </cols>
  <sheetData>
    <row r="1" customFormat="false" ht="17.25" hidden="false" customHeight="true" outlineLevel="0" collapsed="false">
      <c r="A1" s="14" t="s">
        <v>223</v>
      </c>
    </row>
    <row r="2" customFormat="false" ht="15" hidden="false" customHeight="true" outlineLevel="0" collapsed="false">
      <c r="A2" s="15" t="s">
        <v>224</v>
      </c>
    </row>
    <row r="3" customFormat="false" ht="33.75" hidden="false" customHeight="true" outlineLevel="0" collapsed="false">
      <c r="A3" s="16" t="s">
        <v>168</v>
      </c>
      <c r="B3" s="16" t="s">
        <v>169</v>
      </c>
      <c r="C3" s="16" t="s">
        <v>225</v>
      </c>
      <c r="D3" s="16" t="s">
        <v>226</v>
      </c>
      <c r="E3" s="16" t="s">
        <v>170</v>
      </c>
      <c r="F3" s="16" t="s">
        <v>227</v>
      </c>
      <c r="G3" s="16" t="s">
        <v>228</v>
      </c>
      <c r="H3" s="16" t="s">
        <v>229</v>
      </c>
      <c r="I3" s="16" t="s">
        <v>230</v>
      </c>
      <c r="J3" s="16" t="s">
        <v>231</v>
      </c>
      <c r="K3" s="16" t="s">
        <v>232</v>
      </c>
      <c r="L3" s="16" t="s">
        <v>233</v>
      </c>
      <c r="M3" s="16" t="s">
        <v>234</v>
      </c>
    </row>
    <row r="4" customFormat="false" ht="15" hidden="false" customHeight="true" outlineLevel="0" collapsed="false">
      <c r="A4" s="7" t="s">
        <v>235</v>
      </c>
      <c r="B4" s="7" t="s">
        <v>236</v>
      </c>
      <c r="C4" s="7" t="s">
        <v>237</v>
      </c>
      <c r="D4" s="7" t="s">
        <v>238</v>
      </c>
      <c r="E4" s="7" t="s">
        <v>179</v>
      </c>
      <c r="F4" s="7" t="s">
        <v>239</v>
      </c>
      <c r="G4" s="7" t="s">
        <v>240</v>
      </c>
      <c r="H4" s="18"/>
      <c r="I4" s="18"/>
      <c r="J4" s="18"/>
      <c r="K4" s="7" t="str">
        <f aca="false">IF(J4="","",IF(J4&lt;Start_Here!$C$4,"EXPIRED",IF(J4-Start_Here!$C$4&lt;=Start_Here!$C$5,"Expires within reminder window","OK")))</f>
        <v/>
      </c>
      <c r="L4" s="20" t="n">
        <f aca="false">SUMIFS(Roster!$F$4:$F$60,Roster!$J$4:$J$60,A4,Roster!$M$4:$M$60,"&lt;&gt;Cancelled")</f>
        <v>0</v>
      </c>
      <c r="M4" s="21"/>
    </row>
    <row r="5" customFormat="false" ht="15" hidden="false" customHeight="true" outlineLevel="0" collapsed="false">
      <c r="A5" s="7" t="s">
        <v>241</v>
      </c>
      <c r="B5" s="7" t="s">
        <v>242</v>
      </c>
      <c r="C5" s="7" t="s">
        <v>243</v>
      </c>
      <c r="D5" s="7" t="s">
        <v>238</v>
      </c>
      <c r="E5" s="7" t="s">
        <v>179</v>
      </c>
      <c r="F5" s="7" t="s">
        <v>239</v>
      </c>
      <c r="G5" s="7" t="s">
        <v>240</v>
      </c>
      <c r="H5" s="18"/>
      <c r="I5" s="18"/>
      <c r="J5" s="18"/>
      <c r="K5" s="7" t="str">
        <f aca="false">IF(J5="","",IF(J5&lt;Start_Here!$C$4,"EXPIRED",IF(J5-Start_Here!$C$4&lt;=Start_Here!$C$5,"Expires within reminder window","OK")))</f>
        <v/>
      </c>
      <c r="L5" s="20" t="n">
        <f aca="false">SUMIFS(Roster!$F$4:$F$60,Roster!$J$4:$J$60,A5,Roster!$M$4:$M$60,"&lt;&gt;Cancelled")</f>
        <v>0</v>
      </c>
      <c r="M5" s="7" t="s">
        <v>244</v>
      </c>
    </row>
    <row r="6" customFormat="false" ht="15" hidden="false" customHeight="true" outlineLevel="0" collapsed="false">
      <c r="A6" s="7" t="s">
        <v>245</v>
      </c>
      <c r="B6" s="7" t="s">
        <v>246</v>
      </c>
      <c r="C6" s="7" t="s">
        <v>247</v>
      </c>
      <c r="D6" s="7" t="s">
        <v>238</v>
      </c>
      <c r="E6" s="7" t="s">
        <v>179</v>
      </c>
      <c r="F6" s="7" t="s">
        <v>239</v>
      </c>
      <c r="G6" s="7" t="s">
        <v>240</v>
      </c>
      <c r="H6" s="18"/>
      <c r="I6" s="18"/>
      <c r="J6" s="18"/>
      <c r="K6" s="7" t="str">
        <f aca="false">IF(J6="","",IF(J6&lt;Start_Here!$C$4,"EXPIRED",IF(J6-Start_Here!$C$4&lt;=Start_Here!$C$5,"Expires within reminder window","OK")))</f>
        <v/>
      </c>
      <c r="L6" s="20" t="n">
        <f aca="false">SUMIFS(Roster!$F$4:$F$60,Roster!$J$4:$J$60,A6,Roster!$M$4:$M$60,"&lt;&gt;Cancelled")</f>
        <v>0</v>
      </c>
      <c r="M6" s="21"/>
    </row>
    <row r="7" customFormat="false" ht="15" hidden="false" customHeight="true" outlineLevel="0" collapsed="false">
      <c r="A7" s="7" t="s">
        <v>248</v>
      </c>
      <c r="B7" s="7" t="s">
        <v>249</v>
      </c>
      <c r="C7" s="7" t="s">
        <v>247</v>
      </c>
      <c r="D7" s="7" t="s">
        <v>238</v>
      </c>
      <c r="E7" s="7" t="s">
        <v>210</v>
      </c>
      <c r="F7" s="7" t="s">
        <v>250</v>
      </c>
      <c r="G7" s="7" t="s">
        <v>251</v>
      </c>
      <c r="H7" s="18"/>
      <c r="I7" s="18"/>
      <c r="J7" s="18" t="n">
        <v>46568</v>
      </c>
      <c r="K7" s="7" t="str">
        <f aca="false">IF(J7="","",IF(J7&lt;Start_Here!$C$4,"EXPIRED",IF(J7-Start_Here!$C$4&lt;=Start_Here!$C$5,"Expires within reminder window","OK")))</f>
        <v>OK</v>
      </c>
      <c r="L7" s="20" t="n">
        <f aca="false">SUMIFS(Roster!$F$4:$F$60,Roster!$J$4:$J$60,A7,Roster!$M$4:$M$60,"&lt;&gt;Cancelled")</f>
        <v>0</v>
      </c>
      <c r="M7" s="21"/>
    </row>
    <row r="8" customFormat="false" ht="15" hidden="false" customHeight="true" outlineLevel="0" collapsed="false">
      <c r="A8" s="7" t="s">
        <v>252</v>
      </c>
      <c r="B8" s="7" t="s">
        <v>253</v>
      </c>
      <c r="C8" s="7" t="s">
        <v>254</v>
      </c>
      <c r="D8" s="7" t="s">
        <v>238</v>
      </c>
      <c r="E8" s="7" t="s">
        <v>179</v>
      </c>
      <c r="F8" s="7" t="s">
        <v>239</v>
      </c>
      <c r="G8" s="7" t="s">
        <v>240</v>
      </c>
      <c r="H8" s="18"/>
      <c r="I8" s="18"/>
      <c r="J8" s="18"/>
      <c r="K8" s="7" t="str">
        <f aca="false">IF(J8="","",IF(J8&lt;Start_Here!$C$4,"EXPIRED",IF(J8-Start_Here!$C$4&lt;=Start_Here!$C$5,"Expires within reminder window","OK")))</f>
        <v/>
      </c>
      <c r="L8" s="20" t="n">
        <f aca="false">SUMIFS(Roster!$F$4:$F$60,Roster!$J$4:$J$60,A8,Roster!$M$4:$M$60,"&lt;&gt;Cancelled")</f>
        <v>0</v>
      </c>
      <c r="M8" s="21"/>
    </row>
    <row r="9" customFormat="false" ht="15" hidden="false" customHeight="true" outlineLevel="0" collapsed="false">
      <c r="A9" s="7" t="s">
        <v>255</v>
      </c>
      <c r="B9" s="7" t="s">
        <v>256</v>
      </c>
      <c r="C9" s="7" t="s">
        <v>257</v>
      </c>
      <c r="D9" s="7" t="s">
        <v>238</v>
      </c>
      <c r="E9" s="7" t="s">
        <v>179</v>
      </c>
      <c r="F9" s="7" t="s">
        <v>250</v>
      </c>
      <c r="G9" s="7" t="s">
        <v>251</v>
      </c>
      <c r="H9" s="18"/>
      <c r="I9" s="18"/>
      <c r="J9" s="18"/>
      <c r="K9" s="7" t="str">
        <f aca="false">IF(J9="","",IF(J9&lt;Start_Here!$C$4,"EXPIRED",IF(J9-Start_Here!$C$4&lt;=Start_Here!$C$5,"Expires within reminder window","OK")))</f>
        <v/>
      </c>
      <c r="L9" s="20" t="n">
        <f aca="false">SUMIFS(Roster!$F$4:$F$60,Roster!$J$4:$J$60,A9,Roster!$M$4:$M$60,"&lt;&gt;Cancelled")</f>
        <v>0</v>
      </c>
      <c r="M9" s="21"/>
    </row>
    <row r="10" customFormat="false" ht="15" hidden="false" customHeight="true" outlineLevel="0" collapsed="false">
      <c r="A10" s="7" t="s">
        <v>258</v>
      </c>
      <c r="B10" s="7" t="s">
        <v>259</v>
      </c>
      <c r="C10" s="7" t="s">
        <v>260</v>
      </c>
      <c r="D10" s="7" t="s">
        <v>261</v>
      </c>
      <c r="E10" s="7" t="s">
        <v>179</v>
      </c>
      <c r="F10" s="7" t="s">
        <v>250</v>
      </c>
      <c r="G10" s="7" t="s">
        <v>262</v>
      </c>
      <c r="H10" s="18"/>
      <c r="I10" s="18"/>
      <c r="J10" s="5" t="n">
        <v>46827</v>
      </c>
      <c r="K10" s="7" t="str">
        <f aca="false">IF(J10="","",IF(J10&lt;Start_Here!$C$4,"EXPIRED",IF(J10-Start_Here!$C$4&lt;=Start_Here!$C$5,"Expires within reminder window","OK")))</f>
        <v>OK</v>
      </c>
      <c r="L10" s="20" t="n">
        <f aca="false">SUMIFS(Roster!$F$4:$F$60,Roster!$J$4:$J$60,A10,Roster!$M$4:$M$60,"&lt;&gt;Cancelled")</f>
        <v>6</v>
      </c>
      <c r="M10" s="21"/>
    </row>
    <row r="11" customFormat="false" ht="15" hidden="false" customHeight="true" outlineLevel="0" collapsed="false">
      <c r="A11" s="7" t="s">
        <v>263</v>
      </c>
      <c r="B11" s="7" t="s">
        <v>264</v>
      </c>
      <c r="C11" s="7" t="s">
        <v>260</v>
      </c>
      <c r="D11" s="7" t="s">
        <v>261</v>
      </c>
      <c r="E11" s="7" t="s">
        <v>179</v>
      </c>
      <c r="F11" s="7" t="s">
        <v>265</v>
      </c>
      <c r="G11" s="7" t="s">
        <v>266</v>
      </c>
      <c r="H11" s="18"/>
      <c r="I11" s="18"/>
      <c r="J11" s="5" t="n">
        <v>46721</v>
      </c>
      <c r="K11" s="7" t="str">
        <f aca="false">IF(J11="","",IF(J11&lt;Start_Here!$C$4,"EXPIRED",IF(J11-Start_Here!$C$4&lt;=Start_Here!$C$5,"Expires within reminder window","OK")))</f>
        <v>OK</v>
      </c>
      <c r="L11" s="20" t="n">
        <f aca="false">SUMIFS(Roster!$F$4:$F$60,Roster!$J$4:$J$60,A11,Roster!$M$4:$M$60,"&lt;&gt;Cancelled")</f>
        <v>2</v>
      </c>
      <c r="M11" s="21"/>
    </row>
    <row r="12" customFormat="false" ht="15" hidden="false" customHeight="true" outlineLevel="0" collapsed="false">
      <c r="A12" s="7" t="s">
        <v>267</v>
      </c>
      <c r="B12" s="7" t="s">
        <v>268</v>
      </c>
      <c r="C12" s="7" t="s">
        <v>260</v>
      </c>
      <c r="D12" s="7" t="s">
        <v>261</v>
      </c>
      <c r="E12" s="7" t="s">
        <v>179</v>
      </c>
      <c r="F12" s="7" t="s">
        <v>239</v>
      </c>
      <c r="G12" s="7" t="s">
        <v>240</v>
      </c>
      <c r="H12" s="18"/>
      <c r="I12" s="18"/>
      <c r="J12" s="5" t="n">
        <v>46629</v>
      </c>
      <c r="K12" s="7" t="str">
        <f aca="false">IF(J12="","",IF(J12&lt;Start_Here!$C$4,"EXPIRED",IF(J12-Start_Here!$C$4&lt;=Start_Here!$C$5,"Expires within reminder window","OK")))</f>
        <v>OK</v>
      </c>
      <c r="L12" s="20" t="n">
        <f aca="false">SUMIFS(Roster!$F$4:$F$60,Roster!$J$4:$J$60,A12,Roster!$M$4:$M$60,"&lt;&gt;Cancelled")</f>
        <v>8</v>
      </c>
      <c r="M12" s="21"/>
    </row>
    <row r="13" customFormat="false" ht="23.25" hidden="false" customHeight="true" outlineLevel="0" collapsed="false">
      <c r="A13" s="7" t="s">
        <v>269</v>
      </c>
      <c r="B13" s="7" t="s">
        <v>270</v>
      </c>
      <c r="C13" s="7" t="s">
        <v>260</v>
      </c>
      <c r="D13" s="7" t="s">
        <v>261</v>
      </c>
      <c r="E13" s="7" t="s">
        <v>179</v>
      </c>
      <c r="F13" s="7" t="s">
        <v>265</v>
      </c>
      <c r="G13" s="7" t="s">
        <v>271</v>
      </c>
      <c r="H13" s="18"/>
      <c r="I13" s="18"/>
      <c r="J13" s="5" t="n">
        <v>46346</v>
      </c>
      <c r="K13" s="7" t="str">
        <f aca="false">IF(J13="","",IF(J13&lt;Start_Here!$C$4,"EXPIRED",IF(J13-Start_Here!$C$4&lt;=Start_Here!$C$5,"Expires within reminder window","OK")))</f>
        <v>Expires within reminder window</v>
      </c>
      <c r="L13" s="20" t="n">
        <f aca="false">SUMIFS(Roster!$F$4:$F$60,Roster!$J$4:$J$60,A13,Roster!$M$4:$M$60,"&lt;&gt;Cancelled")</f>
        <v>0</v>
      </c>
      <c r="M13" s="21"/>
    </row>
    <row r="14" customFormat="false" ht="15" hidden="false" customHeight="true" outlineLevel="0" collapsed="false">
      <c r="A14" s="7" t="s">
        <v>272</v>
      </c>
      <c r="B14" s="7" t="s">
        <v>273</v>
      </c>
      <c r="C14" s="7" t="s">
        <v>260</v>
      </c>
      <c r="D14" s="7" t="s">
        <v>261</v>
      </c>
      <c r="E14" s="7" t="s">
        <v>179</v>
      </c>
      <c r="F14" s="7" t="s">
        <v>239</v>
      </c>
      <c r="G14" s="7" t="s">
        <v>240</v>
      </c>
      <c r="H14" s="5" t="n">
        <v>46330</v>
      </c>
      <c r="I14" s="5" t="n">
        <v>46331</v>
      </c>
      <c r="J14" s="5" t="n">
        <v>46762</v>
      </c>
      <c r="K14" s="7" t="str">
        <f aca="false">IF(J14="","",IF(J14&lt;Start_Here!$C$4,"EXPIRED",IF(J14-Start_Here!$C$4&lt;=Start_Here!$C$5,"Expires within reminder window","OK")))</f>
        <v>OK</v>
      </c>
      <c r="L14" s="20" t="n">
        <f aca="false">SUMIFS(Roster!$F$4:$F$60,Roster!$J$4:$J$60,A14,Roster!$M$4:$M$60,"&lt;&gt;Cancelled")</f>
        <v>4</v>
      </c>
      <c r="M14" s="7" t="s">
        <v>274</v>
      </c>
    </row>
    <row r="15" customFormat="false" ht="15" hidden="false" customHeight="true" outlineLevel="0" collapsed="false">
      <c r="A15" s="7" t="s">
        <v>275</v>
      </c>
      <c r="B15" s="7" t="s">
        <v>276</v>
      </c>
      <c r="C15" s="7" t="s">
        <v>260</v>
      </c>
      <c r="D15" s="7" t="s">
        <v>261</v>
      </c>
      <c r="E15" s="7" t="s">
        <v>179</v>
      </c>
      <c r="F15" s="7" t="s">
        <v>250</v>
      </c>
      <c r="G15" s="7" t="s">
        <v>277</v>
      </c>
      <c r="H15" s="18"/>
      <c r="I15" s="18"/>
      <c r="J15" s="5" t="n">
        <v>46519</v>
      </c>
      <c r="K15" s="7" t="str">
        <f aca="false">IF(J15="","",IF(J15&lt;Start_Here!$C$4,"EXPIRED",IF(J15-Start_Here!$C$4&lt;=Start_Here!$C$5,"Expires within reminder window","OK")))</f>
        <v>OK</v>
      </c>
      <c r="L15" s="20" t="n">
        <f aca="false">SUMIFS(Roster!$F$4:$F$60,Roster!$J$4:$J$60,A15,Roster!$M$4:$M$60,"&lt;&gt;Cancelled")</f>
        <v>7</v>
      </c>
      <c r="M15" s="21"/>
    </row>
    <row r="16" customFormat="false" ht="15" hidden="false" customHeight="true" outlineLevel="0" collapsed="false">
      <c r="A16" s="7" t="s">
        <v>278</v>
      </c>
      <c r="B16" s="7" t="s">
        <v>279</v>
      </c>
      <c r="C16" s="7" t="s">
        <v>260</v>
      </c>
      <c r="D16" s="7" t="s">
        <v>261</v>
      </c>
      <c r="E16" s="7" t="s">
        <v>210</v>
      </c>
      <c r="F16" s="7" t="s">
        <v>250</v>
      </c>
      <c r="G16" s="7" t="s">
        <v>271</v>
      </c>
      <c r="H16" s="18"/>
      <c r="I16" s="18"/>
      <c r="J16" s="5" t="n">
        <v>46639</v>
      </c>
      <c r="K16" s="7" t="str">
        <f aca="false">IF(J16="","",IF(J16&lt;Start_Here!$C$4,"EXPIRED",IF(J16-Start_Here!$C$4&lt;=Start_Here!$C$5,"Expires within reminder window","OK")))</f>
        <v>OK</v>
      </c>
      <c r="L16" s="20" t="n">
        <f aca="false">SUMIFS(Roster!$F$4:$F$60,Roster!$J$4:$J$60,A16,Roster!$M$4:$M$60,"&lt;&gt;Cancelled")</f>
        <v>11</v>
      </c>
      <c r="M16" s="21"/>
    </row>
    <row r="17" customFormat="false" ht="15" hidden="false" customHeight="true" outlineLevel="0" collapsed="false">
      <c r="A17" s="7" t="s">
        <v>280</v>
      </c>
      <c r="B17" s="7" t="s">
        <v>281</v>
      </c>
      <c r="C17" s="7" t="s">
        <v>260</v>
      </c>
      <c r="D17" s="7" t="s">
        <v>261</v>
      </c>
      <c r="E17" s="7" t="s">
        <v>210</v>
      </c>
      <c r="F17" s="7" t="s">
        <v>265</v>
      </c>
      <c r="G17" s="7" t="s">
        <v>266</v>
      </c>
      <c r="H17" s="18"/>
      <c r="I17" s="18"/>
      <c r="J17" s="5" t="n">
        <v>46320</v>
      </c>
      <c r="K17" s="7" t="str">
        <f aca="false">IF(J17="","",IF(J17&lt;Start_Here!$C$4,"EXPIRED",IF(J17-Start_Here!$C$4&lt;=Start_Here!$C$5,"Expires within reminder window","OK")))</f>
        <v>EXPIRED</v>
      </c>
      <c r="L17" s="20" t="n">
        <f aca="false">SUMIFS(Roster!$F$4:$F$60,Roster!$J$4:$J$60,A17,Roster!$M$4:$M$60,"&lt;&gt;Cancelled")</f>
        <v>4</v>
      </c>
      <c r="M17" s="21"/>
    </row>
    <row r="18" customFormat="false" ht="15" hidden="false" customHeight="true" outlineLevel="0" collapsed="false">
      <c r="A18" s="7" t="s">
        <v>282</v>
      </c>
      <c r="B18" s="7" t="s">
        <v>283</v>
      </c>
      <c r="C18" s="7" t="s">
        <v>260</v>
      </c>
      <c r="D18" s="7" t="s">
        <v>261</v>
      </c>
      <c r="E18" s="7" t="s">
        <v>179</v>
      </c>
      <c r="F18" s="7" t="s">
        <v>265</v>
      </c>
      <c r="G18" s="7" t="s">
        <v>284</v>
      </c>
      <c r="H18" s="18"/>
      <c r="I18" s="18"/>
      <c r="J18" s="5" t="n">
        <v>46436</v>
      </c>
      <c r="K18" s="7" t="str">
        <f aca="false">IF(J18="","",IF(J18&lt;Start_Here!$C$4,"EXPIRED",IF(J18-Start_Here!$C$4&lt;=Start_Here!$C$5,"Expires within reminder window","OK")))</f>
        <v>OK</v>
      </c>
      <c r="L18" s="20" t="n">
        <f aca="false">SUMIFS(Roster!$F$4:$F$60,Roster!$J$4:$J$60,A18,Roster!$M$4:$M$60,"&lt;&gt;Cancelled")</f>
        <v>8</v>
      </c>
      <c r="M18" s="21"/>
    </row>
    <row r="19" customFormat="false" ht="15" hidden="false" customHeight="true" outlineLevel="0" collapsed="false">
      <c r="A19" s="7" t="s">
        <v>285</v>
      </c>
      <c r="B19" s="7" t="s">
        <v>286</v>
      </c>
      <c r="C19" s="7" t="s">
        <v>260</v>
      </c>
      <c r="D19" s="7" t="s">
        <v>261</v>
      </c>
      <c r="E19" s="7" t="s">
        <v>179</v>
      </c>
      <c r="F19" s="7" t="s">
        <v>250</v>
      </c>
      <c r="G19" s="7" t="s">
        <v>240</v>
      </c>
      <c r="H19" s="18"/>
      <c r="I19" s="18"/>
      <c r="J19" s="5" t="n">
        <v>46539</v>
      </c>
      <c r="K19" s="7" t="str">
        <f aca="false">IF(J19="","",IF(J19&lt;Start_Here!$C$4,"EXPIRED",IF(J19-Start_Here!$C$4&lt;=Start_Here!$C$5,"Expires within reminder window","OK")))</f>
        <v>OK</v>
      </c>
      <c r="L19" s="20" t="n">
        <f aca="false">SUMIFS(Roster!$F$4:$F$60,Roster!$J$4:$J$60,A19,Roster!$M$4:$M$60,"&lt;&gt;Cancelled")</f>
        <v>4</v>
      </c>
      <c r="M19" s="21"/>
    </row>
    <row r="20" customFormat="false" ht="15" hidden="false" customHeight="true" outlineLevel="0" collapsed="false">
      <c r="A20" s="7" t="s">
        <v>287</v>
      </c>
      <c r="B20" s="7" t="s">
        <v>288</v>
      </c>
      <c r="C20" s="7" t="s">
        <v>260</v>
      </c>
      <c r="D20" s="7" t="s">
        <v>261</v>
      </c>
      <c r="E20" s="7" t="s">
        <v>179</v>
      </c>
      <c r="F20" s="7" t="s">
        <v>265</v>
      </c>
      <c r="G20" s="7" t="s">
        <v>284</v>
      </c>
      <c r="H20" s="18"/>
      <c r="I20" s="18"/>
      <c r="J20" s="5" t="n">
        <v>46847</v>
      </c>
      <c r="K20" s="7" t="str">
        <f aca="false">IF(J20="","",IF(J20&lt;Start_Here!$C$4,"EXPIRED",IF(J20-Start_Here!$C$4&lt;=Start_Here!$C$5,"Expires within reminder window","OK")))</f>
        <v>OK</v>
      </c>
      <c r="L20" s="20" t="n">
        <f aca="false">SUMIFS(Roster!$F$4:$F$60,Roster!$J$4:$J$60,A20,Roster!$M$4:$M$60,"&lt;&gt;Cancelled")</f>
        <v>4</v>
      </c>
      <c r="M20" s="21"/>
    </row>
    <row r="21" customFormat="false" ht="15" hidden="false" customHeight="true" outlineLevel="0" collapsed="false">
      <c r="A21" s="7" t="s">
        <v>289</v>
      </c>
      <c r="B21" s="7" t="s">
        <v>290</v>
      </c>
      <c r="C21" s="7" t="s">
        <v>260</v>
      </c>
      <c r="D21" s="7" t="s">
        <v>261</v>
      </c>
      <c r="E21" s="7" t="s">
        <v>179</v>
      </c>
      <c r="F21" s="7" t="s">
        <v>250</v>
      </c>
      <c r="G21" s="7" t="s">
        <v>291</v>
      </c>
      <c r="H21" s="18"/>
      <c r="I21" s="18"/>
      <c r="J21" s="5" t="n">
        <v>46733</v>
      </c>
      <c r="K21" s="7" t="str">
        <f aca="false">IF(J21="","",IF(J21&lt;Start_Here!$C$4,"EXPIRED",IF(J21-Start_Here!$C$4&lt;=Start_Here!$C$5,"Expires within reminder window","OK")))</f>
        <v>OK</v>
      </c>
      <c r="L21" s="20" t="n">
        <f aca="false">SUMIFS(Roster!$F$4:$F$60,Roster!$J$4:$J$60,A21,Roster!$M$4:$M$60,"&lt;&gt;Cancelled")</f>
        <v>8</v>
      </c>
      <c r="M21" s="21"/>
    </row>
    <row r="22" customFormat="false" ht="23.25" hidden="false" customHeight="true" outlineLevel="0" collapsed="false">
      <c r="A22" s="7" t="s">
        <v>292</v>
      </c>
      <c r="B22" s="7" t="s">
        <v>293</v>
      </c>
      <c r="C22" s="7" t="s">
        <v>294</v>
      </c>
      <c r="D22" s="7" t="s">
        <v>295</v>
      </c>
      <c r="E22" s="7" t="s">
        <v>179</v>
      </c>
      <c r="F22" s="7" t="s">
        <v>296</v>
      </c>
      <c r="G22" s="7" t="s">
        <v>297</v>
      </c>
      <c r="H22" s="18"/>
      <c r="I22" s="18"/>
      <c r="J22" s="18"/>
      <c r="K22" s="7" t="str">
        <f aca="false">IF(J22="","",IF(J22&lt;Start_Here!$C$4,"EXPIRED",IF(J22-Start_Here!$C$4&lt;=Start_Here!$C$5,"Expires within reminder window","OK")))</f>
        <v/>
      </c>
      <c r="L22" s="20" t="n">
        <f aca="false">SUMIFS(Roster!$F$4:$F$60,Roster!$J$4:$J$60,A22,Roster!$M$4:$M$60,"&lt;&gt;Cancelled")</f>
        <v>1</v>
      </c>
      <c r="M22" s="7" t="s">
        <v>298</v>
      </c>
    </row>
    <row r="23" customFormat="false" ht="23.25" hidden="false" customHeight="true" outlineLevel="0" collapsed="false">
      <c r="A23" s="7" t="s">
        <v>299</v>
      </c>
      <c r="B23" s="7" t="s">
        <v>300</v>
      </c>
      <c r="C23" s="7" t="s">
        <v>301</v>
      </c>
      <c r="D23" s="7" t="s">
        <v>295</v>
      </c>
      <c r="E23" s="7" t="s">
        <v>179</v>
      </c>
      <c r="F23" s="7" t="s">
        <v>296</v>
      </c>
      <c r="G23" s="7" t="s">
        <v>302</v>
      </c>
      <c r="H23" s="18"/>
      <c r="I23" s="18"/>
      <c r="J23" s="18"/>
      <c r="K23" s="7" t="str">
        <f aca="false">IF(J23="","",IF(J23&lt;Start_Here!$C$4,"EXPIRED",IF(J23-Start_Here!$C$4&lt;=Start_Here!$C$5,"Expires within reminder window","OK")))</f>
        <v/>
      </c>
      <c r="L23" s="20" t="n">
        <f aca="false">SUMIFS(Roster!$F$4:$F$60,Roster!$J$4:$J$60,A23,Roster!$M$4:$M$60,"&lt;&gt;Cancelled")</f>
        <v>3</v>
      </c>
      <c r="M23" s="7" t="s">
        <v>298</v>
      </c>
    </row>
    <row r="24" customFormat="false" ht="23.25" hidden="false" customHeight="true" outlineLevel="0" collapsed="false">
      <c r="A24" s="7" t="s">
        <v>303</v>
      </c>
      <c r="B24" s="7" t="s">
        <v>304</v>
      </c>
      <c r="C24" s="7" t="s">
        <v>305</v>
      </c>
      <c r="D24" s="7" t="s">
        <v>295</v>
      </c>
      <c r="E24" s="7" t="s">
        <v>179</v>
      </c>
      <c r="F24" s="7" t="s">
        <v>296</v>
      </c>
      <c r="G24" s="7" t="s">
        <v>306</v>
      </c>
      <c r="H24" s="18"/>
      <c r="I24" s="18"/>
      <c r="J24" s="18"/>
      <c r="K24" s="7" t="str">
        <f aca="false">IF(J24="","",IF(J24&lt;Start_Here!$C$4,"EXPIRED",IF(J24-Start_Here!$C$4&lt;=Start_Here!$C$5,"Expires within reminder window","OK")))</f>
        <v/>
      </c>
      <c r="L24" s="20" t="n">
        <f aca="false">SUMIFS(Roster!$F$4:$F$60,Roster!$J$4:$J$60,A24,Roster!$M$4:$M$60,"&lt;&gt;Cancelled")</f>
        <v>1</v>
      </c>
      <c r="M24" s="7" t="s">
        <v>298</v>
      </c>
    </row>
    <row r="25" customFormat="false" ht="23.25" hidden="false" customHeight="true" outlineLevel="0" collapsed="false">
      <c r="A25" s="7" t="s">
        <v>307</v>
      </c>
      <c r="B25" s="7" t="s">
        <v>308</v>
      </c>
      <c r="C25" s="7" t="s">
        <v>260</v>
      </c>
      <c r="D25" s="7" t="s">
        <v>261</v>
      </c>
      <c r="E25" s="7" t="s">
        <v>210</v>
      </c>
      <c r="F25" s="7" t="s">
        <v>265</v>
      </c>
      <c r="G25" s="7" t="s">
        <v>240</v>
      </c>
      <c r="H25" s="18"/>
      <c r="I25" s="18"/>
      <c r="J25" s="22" t="n">
        <v>46568</v>
      </c>
      <c r="K25" s="7" t="str">
        <f aca="false">IF(J25="","",IF(J25&lt;Start_Here!$C$4,"EXPIRED",IF(J25-Start_Here!$C$4&lt;=Start_Here!$C$5,"Expires within reminder window","OK")))</f>
        <v>OK</v>
      </c>
      <c r="L25" s="20" t="n">
        <f aca="false">SUMIFS(Roster!$F$4:$F$60,Roster!$J$4:$J$60,A25,Roster!$M$4:$M$60,"&lt;&gt;Cancelled")</f>
        <v>0</v>
      </c>
      <c r="M25" s="21" t="s">
        <v>309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8B2AC"/>
    <pageSetUpPr fitToPage="false"/>
  </sheetPr>
  <dimension ref="A1:O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21"/>
    <col collapsed="false" customWidth="true" hidden="false" outlineLevel="0" max="3" min="3" style="1" width="18"/>
    <col collapsed="false" customWidth="true" hidden="false" outlineLevel="0" max="5" min="4" style="1" width="10"/>
    <col collapsed="false" customWidth="true" hidden="false" outlineLevel="0" max="6" min="6" style="1" width="42"/>
    <col collapsed="false" customWidth="true" hidden="false" outlineLevel="0" max="7" min="7" style="1" width="16"/>
    <col collapsed="false" customWidth="true" hidden="false" outlineLevel="0" max="8" min="8" style="1" width="42"/>
    <col collapsed="false" customWidth="true" hidden="false" outlineLevel="0" max="9" min="9" style="1" width="25"/>
    <col collapsed="false" customWidth="true" hidden="false" outlineLevel="0" max="10" min="10" style="1" width="11"/>
    <col collapsed="false" customWidth="true" hidden="false" outlineLevel="0" max="11" min="11" style="1" width="42"/>
    <col collapsed="false" customWidth="true" hidden="false" outlineLevel="0" max="14" min="12" style="1" width="12"/>
    <col collapsed="false" customWidth="true" hidden="false" outlineLevel="0" max="15" min="15" style="1" width="42"/>
  </cols>
  <sheetData>
    <row r="1" customFormat="false" ht="17.25" hidden="false" customHeight="true" outlineLevel="0" collapsed="false">
      <c r="A1" s="14" t="s">
        <v>310</v>
      </c>
    </row>
    <row r="2" customFormat="false" ht="15" hidden="false" customHeight="true" outlineLevel="0" collapsed="false">
      <c r="A2" s="15" t="s">
        <v>311</v>
      </c>
    </row>
    <row r="3" customFormat="false" ht="33.75" hidden="false" customHeight="true" outlineLevel="0" collapsed="false">
      <c r="A3" s="16" t="s">
        <v>312</v>
      </c>
      <c r="B3" s="16" t="s">
        <v>313</v>
      </c>
      <c r="C3" s="16" t="s">
        <v>314</v>
      </c>
      <c r="D3" s="16" t="s">
        <v>315</v>
      </c>
      <c r="E3" s="16" t="s">
        <v>316</v>
      </c>
      <c r="F3" s="16" t="s">
        <v>317</v>
      </c>
      <c r="G3" s="16" t="s">
        <v>318</v>
      </c>
      <c r="H3" s="16" t="s">
        <v>319</v>
      </c>
      <c r="I3" s="16" t="s">
        <v>320</v>
      </c>
      <c r="J3" s="16" t="s">
        <v>321</v>
      </c>
      <c r="K3" s="16" t="s">
        <v>322</v>
      </c>
      <c r="L3" s="16" t="s">
        <v>170</v>
      </c>
      <c r="M3" s="16" t="s">
        <v>323</v>
      </c>
      <c r="N3" s="16" t="s">
        <v>324</v>
      </c>
      <c r="O3" s="16" t="s">
        <v>325</v>
      </c>
    </row>
    <row r="4" customFormat="false" ht="15" hidden="false" customHeight="true" outlineLevel="0" collapsed="false">
      <c r="A4" s="7" t="s">
        <v>326</v>
      </c>
      <c r="B4" s="5" t="n">
        <v>46328</v>
      </c>
      <c r="C4" s="7" t="str">
        <f aca="false">TEXT(B4,"ddd")</f>
        <v>Mon</v>
      </c>
      <c r="D4" s="23" t="n">
        <v>0.375</v>
      </c>
      <c r="E4" s="23" t="n">
        <v>0.541666666666667</v>
      </c>
      <c r="F4" s="20" t="n">
        <f aca="false">IF(AND(ISNUMBER(D4),ISNUMBER(E4)),(E4-D4)*24,"")</f>
        <v>4</v>
      </c>
      <c r="G4" s="7" t="s">
        <v>194</v>
      </c>
      <c r="H4" s="7" t="str">
        <f aca="false">IF(G4="","",IFERROR(INDEX(Participants!$B$4:$B$15,MATCH(G4,Participants!$A$4:$A$15,0)),"NOT FOUND"))</f>
        <v>Tom Nguyen</v>
      </c>
      <c r="I4" s="7" t="s">
        <v>202</v>
      </c>
      <c r="J4" s="7" t="s">
        <v>267</v>
      </c>
      <c r="K4" s="7" t="str">
        <f aca="false">IF(J4="","",IFERROR(INDEX(Staff!$B$4:$B$40,MATCH(J4,Staff!$A$4:$A$40,0)),"NOT FOUND"))</f>
        <v>Sophie Lam</v>
      </c>
      <c r="L4" s="7" t="s">
        <v>179</v>
      </c>
      <c r="M4" s="7" t="s">
        <v>327</v>
      </c>
      <c r="N4" s="7" t="s">
        <v>328</v>
      </c>
      <c r="O4" s="24"/>
    </row>
    <row r="5" customFormat="false" ht="15" hidden="false" customHeight="true" outlineLevel="0" collapsed="false">
      <c r="A5" s="7" t="s">
        <v>329</v>
      </c>
      <c r="B5" s="5" t="n">
        <v>46328</v>
      </c>
      <c r="C5" s="7" t="str">
        <f aca="false">TEXT(B5,"ddd")</f>
        <v>Mon</v>
      </c>
      <c r="D5" s="23" t="n">
        <v>0.5</v>
      </c>
      <c r="E5" s="23" t="n">
        <v>0.666666666666667</v>
      </c>
      <c r="F5" s="20" t="n">
        <f aca="false">IF(AND(ISNUMBER(D5),ISNUMBER(E5)),(E5-D5)*24,"")</f>
        <v>4</v>
      </c>
      <c r="G5" s="7" t="s">
        <v>200</v>
      </c>
      <c r="H5" s="7" t="str">
        <f aca="false">IF(G5="","",IFERROR(INDEX(Participants!$B$4:$B$15,MATCH(G5,Participants!$A$4:$A$15,0)),"NOT FOUND"))</f>
        <v>Jack O'Connor</v>
      </c>
      <c r="I5" s="7" t="s">
        <v>202</v>
      </c>
      <c r="J5" s="7" t="s">
        <v>267</v>
      </c>
      <c r="K5" s="7" t="str">
        <f aca="false">IF(J5="","",IFERROR(INDEX(Staff!$B$4:$B$40,MATCH(J5,Staff!$A$4:$A$40,0)),"NOT FOUND"))</f>
        <v>Sophie Lam</v>
      </c>
      <c r="L5" s="7" t="s">
        <v>179</v>
      </c>
      <c r="M5" s="7" t="s">
        <v>327</v>
      </c>
      <c r="N5" s="7" t="s">
        <v>328</v>
      </c>
      <c r="O5" s="24"/>
    </row>
    <row r="6" customFormat="false" ht="15" hidden="false" customHeight="true" outlineLevel="0" collapsed="false">
      <c r="A6" s="7" t="s">
        <v>330</v>
      </c>
      <c r="B6" s="5" t="n">
        <v>46328</v>
      </c>
      <c r="C6" s="7" t="str">
        <f aca="false">TEXT(B6,"ddd")</f>
        <v>Mon</v>
      </c>
      <c r="D6" s="23" t="n">
        <v>0.416666666666667</v>
      </c>
      <c r="E6" s="23" t="n">
        <v>0.5</v>
      </c>
      <c r="F6" s="20" t="n">
        <f aca="false">IF(AND(ISNUMBER(D6),ISNUMBER(E6)),(E6-D6)*24,"")</f>
        <v>2</v>
      </c>
      <c r="G6" s="7" t="s">
        <v>177</v>
      </c>
      <c r="H6" s="7" t="str">
        <f aca="false">IF(G6="","",IFERROR(INDEX(Participants!$B$4:$B$15,MATCH(G6,Participants!$A$4:$A$15,0)),"NOT FOUND"))</f>
        <v>Marisol Reyes</v>
      </c>
      <c r="I6" s="7" t="s">
        <v>211</v>
      </c>
      <c r="J6" s="7" t="s">
        <v>258</v>
      </c>
      <c r="K6" s="7" t="str">
        <f aca="false">IF(J6="","",IFERROR(INDEX(Staff!$B$4:$B$40,MATCH(J6,Staff!$A$4:$A$40,0)),"NOT FOUND"))</f>
        <v>Joy Villanueva</v>
      </c>
      <c r="L6" s="7" t="s">
        <v>179</v>
      </c>
      <c r="M6" s="7" t="s">
        <v>327</v>
      </c>
      <c r="N6" s="7" t="s">
        <v>328</v>
      </c>
      <c r="O6" s="24"/>
    </row>
    <row r="7" customFormat="false" ht="15" hidden="false" customHeight="true" outlineLevel="0" collapsed="false">
      <c r="A7" s="7" t="s">
        <v>331</v>
      </c>
      <c r="B7" s="5" t="n">
        <v>46328</v>
      </c>
      <c r="C7" s="7" t="str">
        <f aca="false">TEXT(B7,"ddd")</f>
        <v>Mon</v>
      </c>
      <c r="D7" s="23" t="n">
        <v>0.583333333333333</v>
      </c>
      <c r="E7" s="23" t="n">
        <v>0.666666666666667</v>
      </c>
      <c r="F7" s="20" t="n">
        <f aca="false">IF(AND(ISNUMBER(D7),ISNUMBER(E7)),(E7-D7)*24,"")</f>
        <v>2</v>
      </c>
      <c r="G7" s="7" t="s">
        <v>184</v>
      </c>
      <c r="H7" s="7" t="str">
        <f aca="false">IF(G7="","",IFERROR(INDEX(Participants!$B$4:$B$15,MATCH(G7,Participants!$A$4:$A$15,0)),"NOT FOUND"))</f>
        <v>Daniel Whitfield</v>
      </c>
      <c r="I7" s="7" t="s">
        <v>202</v>
      </c>
      <c r="J7" s="7" t="s">
        <v>285</v>
      </c>
      <c r="K7" s="7" t="str">
        <f aca="false">IF(J7="","",IFERROR(INDEX(Staff!$B$4:$B$40,MATCH(J7,Staff!$A$4:$A$40,0)),"NOT FOUND"))</f>
        <v>Liam Doyle</v>
      </c>
      <c r="L7" s="7" t="s">
        <v>179</v>
      </c>
      <c r="M7" s="7" t="s">
        <v>327</v>
      </c>
      <c r="N7" s="7" t="s">
        <v>328</v>
      </c>
      <c r="O7" s="24"/>
    </row>
    <row r="8" customFormat="false" ht="15" hidden="false" customHeight="true" outlineLevel="0" collapsed="false">
      <c r="A8" s="7" t="s">
        <v>332</v>
      </c>
      <c r="B8" s="5" t="n">
        <v>46329</v>
      </c>
      <c r="C8" s="7" t="str">
        <f aca="false">TEXT(B8,"ddd")</f>
        <v>Tue</v>
      </c>
      <c r="D8" s="23" t="n">
        <v>0.375</v>
      </c>
      <c r="E8" s="23" t="n">
        <v>0.541666666666667</v>
      </c>
      <c r="F8" s="20" t="n">
        <f aca="false">IF(AND(ISNUMBER(D8),ISNUMBER(E8)),(E8-D8)*24,"")</f>
        <v>4</v>
      </c>
      <c r="G8" s="7" t="s">
        <v>200</v>
      </c>
      <c r="H8" s="7" t="str">
        <f aca="false">IF(G8="","",IFERROR(INDEX(Participants!$B$4:$B$15,MATCH(G8,Participants!$A$4:$A$15,0)),"NOT FOUND"))</f>
        <v>Jack O'Connor</v>
      </c>
      <c r="I8" s="7" t="s">
        <v>202</v>
      </c>
      <c r="J8" s="7" t="s">
        <v>275</v>
      </c>
      <c r="K8" s="7" t="str">
        <f aca="false">IF(J8="","",IFERROR(INDEX(Staff!$B$4:$B$40,MATCH(J8,Staff!$A$4:$A$40,0)),"NOT FOUND"))</f>
        <v>Kwame Mensah</v>
      </c>
      <c r="L8" s="7" t="s">
        <v>179</v>
      </c>
      <c r="M8" s="7" t="s">
        <v>327</v>
      </c>
      <c r="N8" s="7" t="s">
        <v>328</v>
      </c>
      <c r="O8" s="24"/>
    </row>
    <row r="9" customFormat="false" ht="15" hidden="false" customHeight="true" outlineLevel="0" collapsed="false">
      <c r="A9" s="7" t="s">
        <v>333</v>
      </c>
      <c r="B9" s="5" t="n">
        <v>46329</v>
      </c>
      <c r="C9" s="7" t="str">
        <f aca="false">TEXT(B9,"ddd")</f>
        <v>Tue</v>
      </c>
      <c r="D9" s="23" t="n">
        <v>0.416666666666667</v>
      </c>
      <c r="E9" s="23" t="n">
        <v>0.583333333333333</v>
      </c>
      <c r="F9" s="20" t="n">
        <f aca="false">IF(AND(ISNUMBER(D9),ISNUMBER(E9)),(E9-D9)*24,"")</f>
        <v>4</v>
      </c>
      <c r="G9" s="7" t="s">
        <v>218</v>
      </c>
      <c r="H9" s="7" t="str">
        <f aca="false">IF(G9="","",IFERROR(INDEX(Participants!$B$4:$B$15,MATCH(G9,Participants!$A$4:$A$15,0)),"NOT FOUND"))</f>
        <v>Hannah Kowalski</v>
      </c>
      <c r="I9" s="7" t="s">
        <v>202</v>
      </c>
      <c r="J9" s="7" t="s">
        <v>289</v>
      </c>
      <c r="K9" s="7" t="str">
        <f aca="false">IF(J9="","",IFERROR(INDEX(Staff!$B$4:$B$40,MATCH(J9,Staff!$A$4:$A$40,0)),"NOT FOUND"))</f>
        <v>George Papadakis</v>
      </c>
      <c r="L9" s="7" t="s">
        <v>179</v>
      </c>
      <c r="M9" s="7" t="s">
        <v>327</v>
      </c>
      <c r="N9" s="7" t="s">
        <v>328</v>
      </c>
      <c r="O9" s="24"/>
    </row>
    <row r="10" customFormat="false" ht="15" hidden="false" customHeight="true" outlineLevel="0" collapsed="false">
      <c r="A10" s="7" t="s">
        <v>334</v>
      </c>
      <c r="B10" s="5" t="n">
        <v>46329</v>
      </c>
      <c r="C10" s="7" t="str">
        <f aca="false">TEXT(B10,"ddd")</f>
        <v>Tue</v>
      </c>
      <c r="D10" s="23" t="n">
        <v>0.375</v>
      </c>
      <c r="E10" s="23" t="n">
        <v>0.5</v>
      </c>
      <c r="F10" s="20" t="n">
        <f aca="false">IF(AND(ISNUMBER(D10),ISNUMBER(E10)),(E10-D10)*24,"")</f>
        <v>3</v>
      </c>
      <c r="G10" s="7" t="s">
        <v>208</v>
      </c>
      <c r="H10" s="7" t="str">
        <f aca="false">IF(G10="","",IFERROR(INDEX(Participants!$B$4:$B$15,MATCH(G10,Participants!$A$4:$A$15,0)),"NOT FOUND"))</f>
        <v>Ben Taylor</v>
      </c>
      <c r="I10" s="7" t="s">
        <v>211</v>
      </c>
      <c r="J10" s="7" t="s">
        <v>278</v>
      </c>
      <c r="K10" s="7" t="str">
        <f aca="false">IF(J10="","",IFERROR(INDEX(Staff!$B$4:$B$40,MATCH(J10,Staff!$A$4:$A$40,0)),"NOT FOUND"))</f>
        <v>Isla Barrett</v>
      </c>
      <c r="L10" s="7" t="s">
        <v>210</v>
      </c>
      <c r="M10" s="7" t="s">
        <v>327</v>
      </c>
      <c r="N10" s="7" t="s">
        <v>335</v>
      </c>
      <c r="O10" s="24"/>
    </row>
    <row r="11" customFormat="false" ht="15" hidden="false" customHeight="true" outlineLevel="0" collapsed="false">
      <c r="A11" s="7" t="s">
        <v>336</v>
      </c>
      <c r="B11" s="5" t="n">
        <v>46330</v>
      </c>
      <c r="C11" s="7" t="str">
        <f aca="false">TEXT(B11,"ddd")</f>
        <v>Wed</v>
      </c>
      <c r="D11" s="23" t="n">
        <v>0.416666666666667</v>
      </c>
      <c r="E11" s="23" t="n">
        <v>0.583333333333333</v>
      </c>
      <c r="F11" s="20" t="n">
        <f aca="false">IF(AND(ISNUMBER(D11),ISNUMBER(E11)),(E11-D11)*24,"")</f>
        <v>4</v>
      </c>
      <c r="G11" s="7" t="s">
        <v>184</v>
      </c>
      <c r="H11" s="7" t="str">
        <f aca="false">IF(G11="","",IFERROR(INDEX(Participants!$B$4:$B$15,MATCH(G11,Participants!$A$4:$A$15,0)),"NOT FOUND"))</f>
        <v>Daniel Whitfield</v>
      </c>
      <c r="I11" s="7" t="s">
        <v>202</v>
      </c>
      <c r="J11" s="7" t="s">
        <v>272</v>
      </c>
      <c r="K11" s="7" t="str">
        <f aca="false">IF(J11="","",IFERROR(INDEX(Staff!$B$4:$B$40,MATCH(J11,Staff!$A$4:$A$40,0)),"NOT FOUND"))</f>
        <v>Amelia Fraser</v>
      </c>
      <c r="L11" s="7" t="s">
        <v>179</v>
      </c>
      <c r="M11" s="7" t="s">
        <v>327</v>
      </c>
      <c r="N11" s="7" t="s">
        <v>328</v>
      </c>
      <c r="O11" s="24"/>
    </row>
    <row r="12" customFormat="false" ht="15" hidden="false" customHeight="true" outlineLevel="0" collapsed="false">
      <c r="A12" s="7" t="s">
        <v>337</v>
      </c>
      <c r="B12" s="5" t="n">
        <v>46330</v>
      </c>
      <c r="C12" s="7" t="str">
        <f aca="false">TEXT(B12,"ddd")</f>
        <v>Wed</v>
      </c>
      <c r="D12" s="23" t="n">
        <v>0.375</v>
      </c>
      <c r="E12" s="23" t="n">
        <v>0.541666666666667</v>
      </c>
      <c r="F12" s="20" t="n">
        <f aca="false">IF(AND(ISNUMBER(D12),ISNUMBER(E12)),(E12-D12)*24,"")</f>
        <v>4</v>
      </c>
      <c r="G12" s="7" t="s">
        <v>208</v>
      </c>
      <c r="H12" s="7" t="str">
        <f aca="false">IF(G12="","",IFERROR(INDEX(Participants!$B$4:$B$15,MATCH(G12,Participants!$A$4:$A$15,0)),"NOT FOUND"))</f>
        <v>Ben Taylor</v>
      </c>
      <c r="I12" s="7" t="s">
        <v>211</v>
      </c>
      <c r="J12" s="7" t="s">
        <v>280</v>
      </c>
      <c r="K12" s="7" t="str">
        <f aca="false">IF(J12="","",IFERROR(INDEX(Staff!$B$4:$B$40,MATCH(J12,Staff!$A$4:$A$40,0)),"NOT FOUND"))</f>
        <v>Noah Kelly</v>
      </c>
      <c r="L12" s="7" t="s">
        <v>210</v>
      </c>
      <c r="M12" s="7" t="s">
        <v>327</v>
      </c>
      <c r="N12" s="7" t="s">
        <v>335</v>
      </c>
      <c r="O12" s="24"/>
    </row>
    <row r="13" customFormat="false" ht="15" hidden="false" customHeight="true" outlineLevel="0" collapsed="false">
      <c r="A13" s="7" t="s">
        <v>338</v>
      </c>
      <c r="B13" s="5" t="n">
        <v>46330</v>
      </c>
      <c r="C13" s="7" t="str">
        <f aca="false">TEXT(B13,"ddd")</f>
        <v>Wed</v>
      </c>
      <c r="D13" s="23" t="n">
        <v>0.541666666666667</v>
      </c>
      <c r="E13" s="23" t="n">
        <v>0.625</v>
      </c>
      <c r="F13" s="20" t="n">
        <f aca="false">IF(AND(ISNUMBER(D13),ISNUMBER(E13)),(E13-D13)*24,"")</f>
        <v>2</v>
      </c>
      <c r="G13" s="7" t="s">
        <v>220</v>
      </c>
      <c r="H13" s="7" t="str">
        <f aca="false">IF(G13="","",IFERROR(INDEX(Participants!$B$4:$B$15,MATCH(G13,Participants!$A$4:$A$15,0)),"NOT FOUND"))</f>
        <v>Ravi Patel</v>
      </c>
      <c r="I13" s="7" t="s">
        <v>339</v>
      </c>
      <c r="J13" s="7" t="s">
        <v>299</v>
      </c>
      <c r="K13" s="7" t="str">
        <f aca="false">IF(J13="","",IFERROR(INDEX(Staff!$B$4:$B$40,MATCH(J13,Staff!$A$4:$A$40,0)),"NOT FOUND"))</f>
        <v>Peter Lindqvist</v>
      </c>
      <c r="L13" s="7" t="s">
        <v>179</v>
      </c>
      <c r="M13" s="7" t="s">
        <v>327</v>
      </c>
      <c r="N13" s="7" t="s">
        <v>328</v>
      </c>
      <c r="O13" s="24"/>
    </row>
    <row r="14" customFormat="false" ht="15" hidden="false" customHeight="true" outlineLevel="0" collapsed="false">
      <c r="A14" s="7" t="s">
        <v>340</v>
      </c>
      <c r="B14" s="5" t="n">
        <v>46330</v>
      </c>
      <c r="C14" s="7" t="str">
        <f aca="false">TEXT(B14,"ddd")</f>
        <v>Wed</v>
      </c>
      <c r="D14" s="23" t="n">
        <v>0.375</v>
      </c>
      <c r="E14" s="23" t="n">
        <v>0.416666666666667</v>
      </c>
      <c r="F14" s="20" t="n">
        <f aca="false">IF(AND(ISNUMBER(D14),ISNUMBER(E14)),(E14-D14)*24,"")</f>
        <v>1</v>
      </c>
      <c r="G14" s="7" t="s">
        <v>177</v>
      </c>
      <c r="H14" s="7" t="str">
        <f aca="false">IF(G14="","",IFERROR(INDEX(Participants!$B$4:$B$15,MATCH(G14,Participants!$A$4:$A$15,0)),"NOT FOUND"))</f>
        <v>Marisol Reyes</v>
      </c>
      <c r="I14" s="7" t="s">
        <v>339</v>
      </c>
      <c r="J14" s="7" t="s">
        <v>299</v>
      </c>
      <c r="K14" s="7" t="str">
        <f aca="false">IF(J14="","",IFERROR(INDEX(Staff!$B$4:$B$40,MATCH(J14,Staff!$A$4:$A$40,0)),"NOT FOUND"))</f>
        <v>Peter Lindqvist</v>
      </c>
      <c r="L14" s="7" t="s">
        <v>179</v>
      </c>
      <c r="M14" s="7" t="s">
        <v>327</v>
      </c>
      <c r="N14" s="7" t="s">
        <v>328</v>
      </c>
      <c r="O14" s="24"/>
    </row>
    <row r="15" customFormat="false" ht="15" hidden="false" customHeight="true" outlineLevel="0" collapsed="false">
      <c r="A15" s="7" t="s">
        <v>341</v>
      </c>
      <c r="B15" s="5" t="n">
        <v>46331</v>
      </c>
      <c r="C15" s="7" t="str">
        <f aca="false">TEXT(B15,"ddd")</f>
        <v>Thu</v>
      </c>
      <c r="D15" s="23" t="n">
        <v>0.541666666666667</v>
      </c>
      <c r="E15" s="23" t="n">
        <v>0.708333333333333</v>
      </c>
      <c r="F15" s="20" t="n">
        <f aca="false">IF(AND(ISNUMBER(D15),ISNUMBER(E15)),(E15-D15)*24,"")</f>
        <v>4</v>
      </c>
      <c r="G15" s="7" t="s">
        <v>200</v>
      </c>
      <c r="H15" s="7" t="str">
        <f aca="false">IF(G15="","",IFERROR(INDEX(Participants!$B$4:$B$15,MATCH(G15,Participants!$A$4:$A$15,0)),"NOT FOUND"))</f>
        <v>Jack O'Connor</v>
      </c>
      <c r="I15" s="7" t="s">
        <v>202</v>
      </c>
      <c r="J15" s="21"/>
      <c r="K15" s="7" t="str">
        <f aca="false">IF(J15="","",IFERROR(INDEX(Staff!$B$4:$B$40,MATCH(J15,Staff!$A$4:$A$40,0)),"NOT FOUND"))</f>
        <v/>
      </c>
      <c r="L15" s="7" t="s">
        <v>179</v>
      </c>
      <c r="M15" s="7" t="s">
        <v>342</v>
      </c>
      <c r="N15" s="7" t="s">
        <v>328</v>
      </c>
      <c r="O15" s="24"/>
    </row>
    <row r="16" customFormat="false" ht="15" hidden="false" customHeight="true" outlineLevel="0" collapsed="false">
      <c r="A16" s="7" t="s">
        <v>343</v>
      </c>
      <c r="B16" s="5" t="n">
        <v>46331</v>
      </c>
      <c r="C16" s="7" t="str">
        <f aca="false">TEXT(B16,"ddd")</f>
        <v>Thu</v>
      </c>
      <c r="D16" s="23" t="n">
        <v>0.416666666666667</v>
      </c>
      <c r="E16" s="23" t="n">
        <v>0.458333333333333</v>
      </c>
      <c r="F16" s="20" t="n">
        <f aca="false">IF(AND(ISNUMBER(D16),ISNUMBER(E16)),(E16-D16)*24,"")</f>
        <v>1</v>
      </c>
      <c r="G16" s="7" t="s">
        <v>194</v>
      </c>
      <c r="H16" s="7" t="str">
        <f aca="false">IF(G16="","",IFERROR(INDEX(Participants!$B$4:$B$15,MATCH(G16,Participants!$A$4:$A$15,0)),"NOT FOUND"))</f>
        <v>Tom Nguyen</v>
      </c>
      <c r="I16" s="7" t="s">
        <v>344</v>
      </c>
      <c r="J16" s="7" t="s">
        <v>292</v>
      </c>
      <c r="K16" s="7" t="str">
        <f aca="false">IF(J16="","",IFERROR(INDEX(Staff!$B$4:$B$40,MATCH(J16,Staff!$A$4:$A$40,0)),"NOT FOUND"))</f>
        <v>Naomi Cheung</v>
      </c>
      <c r="L16" s="7" t="s">
        <v>179</v>
      </c>
      <c r="M16" s="7" t="s">
        <v>327</v>
      </c>
      <c r="N16" s="7" t="s">
        <v>328</v>
      </c>
      <c r="O16" s="24"/>
    </row>
    <row r="17" customFormat="false" ht="15" hidden="false" customHeight="true" outlineLevel="0" collapsed="false">
      <c r="A17" s="7" t="s">
        <v>345</v>
      </c>
      <c r="B17" s="5" t="n">
        <v>46331</v>
      </c>
      <c r="C17" s="7" t="str">
        <f aca="false">TEXT(B17,"ddd")</f>
        <v>Thu</v>
      </c>
      <c r="D17" s="23" t="n">
        <v>0.375</v>
      </c>
      <c r="E17" s="23" t="n">
        <v>0.541666666666667</v>
      </c>
      <c r="F17" s="20" t="n">
        <f aca="false">IF(AND(ISNUMBER(D17),ISNUMBER(E17)),(E17-D17)*24,"")</f>
        <v>4</v>
      </c>
      <c r="G17" s="7" t="s">
        <v>218</v>
      </c>
      <c r="H17" s="7" t="str">
        <f aca="false">IF(G17="","",IFERROR(INDEX(Participants!$B$4:$B$15,MATCH(G17,Participants!$A$4:$A$15,0)),"NOT FOUND"))</f>
        <v>Hannah Kowalski</v>
      </c>
      <c r="I17" s="7" t="s">
        <v>202</v>
      </c>
      <c r="J17" s="7" t="s">
        <v>258</v>
      </c>
      <c r="K17" s="7" t="str">
        <f aca="false">IF(J17="","",IFERROR(INDEX(Staff!$B$4:$B$40,MATCH(J17,Staff!$A$4:$A$40,0)),"NOT FOUND"))</f>
        <v>Joy Villanueva</v>
      </c>
      <c r="L17" s="7" t="s">
        <v>179</v>
      </c>
      <c r="M17" s="7" t="s">
        <v>327</v>
      </c>
      <c r="N17" s="7" t="s">
        <v>328</v>
      </c>
      <c r="O17" s="24"/>
    </row>
    <row r="18" customFormat="false" ht="15" hidden="false" customHeight="true" outlineLevel="0" collapsed="false">
      <c r="A18" s="7" t="s">
        <v>346</v>
      </c>
      <c r="B18" s="5" t="n">
        <v>46331</v>
      </c>
      <c r="C18" s="7" t="str">
        <f aca="false">TEXT(B18,"ddd")</f>
        <v>Thu</v>
      </c>
      <c r="D18" s="23" t="n">
        <v>0.375</v>
      </c>
      <c r="E18" s="23" t="n">
        <v>0.5</v>
      </c>
      <c r="F18" s="20" t="n">
        <f aca="false">IF(AND(ISNUMBER(D18),ISNUMBER(E18)),(E18-D18)*24,"")</f>
        <v>3</v>
      </c>
      <c r="G18" s="7" t="s">
        <v>197</v>
      </c>
      <c r="H18" s="7" t="str">
        <f aca="false">IF(G18="","",IFERROR(INDEX(Participants!$B$4:$B$15,MATCH(G18,Participants!$A$4:$A$15,0)),"NOT FOUND"))</f>
        <v>Priya Nair</v>
      </c>
      <c r="I18" s="7" t="s">
        <v>199</v>
      </c>
      <c r="J18" s="7" t="s">
        <v>275</v>
      </c>
      <c r="K18" s="7" t="str">
        <f aca="false">IF(J18="","",IFERROR(INDEX(Staff!$B$4:$B$40,MATCH(J18,Staff!$A$4:$A$40,0)),"NOT FOUND"))</f>
        <v>Kwame Mensah</v>
      </c>
      <c r="L18" s="7" t="s">
        <v>179</v>
      </c>
      <c r="M18" s="7" t="s">
        <v>327</v>
      </c>
      <c r="N18" s="7" t="s">
        <v>328</v>
      </c>
      <c r="O18" s="24"/>
    </row>
    <row r="19" customFormat="false" ht="15" hidden="false" customHeight="true" outlineLevel="0" collapsed="false">
      <c r="A19" s="7" t="s">
        <v>347</v>
      </c>
      <c r="B19" s="5" t="n">
        <v>46332</v>
      </c>
      <c r="C19" s="7" t="str">
        <f aca="false">TEXT(B19,"ddd")</f>
        <v>Fri</v>
      </c>
      <c r="D19" s="23" t="n">
        <v>0.416666666666667</v>
      </c>
      <c r="E19" s="23" t="n">
        <v>0.5</v>
      </c>
      <c r="F19" s="20" t="n">
        <f aca="false">IF(AND(ISNUMBER(D19),ISNUMBER(E19)),(E19-D19)*24,"")</f>
        <v>2</v>
      </c>
      <c r="G19" s="7" t="s">
        <v>194</v>
      </c>
      <c r="H19" s="7" t="str">
        <f aca="false">IF(G19="","",IFERROR(INDEX(Participants!$B$4:$B$15,MATCH(G19,Participants!$A$4:$A$15,0)),"NOT FOUND"))</f>
        <v>Tom Nguyen</v>
      </c>
      <c r="I19" s="7" t="s">
        <v>202</v>
      </c>
      <c r="J19" s="7" t="s">
        <v>267</v>
      </c>
      <c r="K19" s="7" t="str">
        <f aca="false">IF(J19="","",IFERROR(INDEX(Staff!$B$4:$B$40,MATCH(J19,Staff!$A$4:$A$40,0)),"NOT FOUND"))</f>
        <v>Sophie Lam</v>
      </c>
      <c r="L19" s="7" t="s">
        <v>179</v>
      </c>
      <c r="M19" s="7" t="s">
        <v>348</v>
      </c>
      <c r="N19" s="7" t="s">
        <v>328</v>
      </c>
      <c r="O19" s="25" t="s">
        <v>349</v>
      </c>
    </row>
    <row r="20" customFormat="false" ht="15" hidden="false" customHeight="true" outlineLevel="0" collapsed="false">
      <c r="A20" s="7" t="s">
        <v>350</v>
      </c>
      <c r="B20" s="5" t="n">
        <v>46332</v>
      </c>
      <c r="C20" s="7" t="str">
        <f aca="false">TEXT(B20,"ddd")</f>
        <v>Fri</v>
      </c>
      <c r="D20" s="23" t="n">
        <v>0.375</v>
      </c>
      <c r="E20" s="23" t="n">
        <v>0.541666666666667</v>
      </c>
      <c r="F20" s="20" t="n">
        <f aca="false">IF(AND(ISNUMBER(D20),ISNUMBER(E20)),(E20-D20)*24,"")</f>
        <v>4</v>
      </c>
      <c r="G20" s="7" t="s">
        <v>208</v>
      </c>
      <c r="H20" s="7" t="str">
        <f aca="false">IF(G20="","",IFERROR(INDEX(Participants!$B$4:$B$15,MATCH(G20,Participants!$A$4:$A$15,0)),"NOT FOUND"))</f>
        <v>Ben Taylor</v>
      </c>
      <c r="I20" s="7" t="s">
        <v>211</v>
      </c>
      <c r="J20" s="7" t="s">
        <v>278</v>
      </c>
      <c r="K20" s="7" t="str">
        <f aca="false">IF(J20="","",IFERROR(INDEX(Staff!$B$4:$B$40,MATCH(J20,Staff!$A$4:$A$40,0)),"NOT FOUND"))</f>
        <v>Isla Barrett</v>
      </c>
      <c r="L20" s="7" t="s">
        <v>210</v>
      </c>
      <c r="M20" s="7" t="s">
        <v>327</v>
      </c>
      <c r="N20" s="7" t="s">
        <v>335</v>
      </c>
      <c r="O20" s="24"/>
    </row>
    <row r="21" customFormat="false" ht="15" hidden="false" customHeight="true" outlineLevel="0" collapsed="false">
      <c r="A21" s="7" t="s">
        <v>351</v>
      </c>
      <c r="B21" s="5" t="n">
        <v>46332</v>
      </c>
      <c r="C21" s="7" t="str">
        <f aca="false">TEXT(B21,"ddd")</f>
        <v>Fri</v>
      </c>
      <c r="D21" s="23" t="n">
        <v>0.416666666666667</v>
      </c>
      <c r="E21" s="23" t="n">
        <v>0.5</v>
      </c>
      <c r="F21" s="20" t="n">
        <f aca="false">IF(AND(ISNUMBER(D21),ISNUMBER(E21)),(E21-D21)*24,"")</f>
        <v>2</v>
      </c>
      <c r="G21" s="7" t="s">
        <v>220</v>
      </c>
      <c r="H21" s="7" t="str">
        <f aca="false">IF(G21="","",IFERROR(INDEX(Participants!$B$4:$B$15,MATCH(G21,Participants!$A$4:$A$15,0)),"NOT FOUND"))</f>
        <v>Ravi Patel</v>
      </c>
      <c r="I21" s="7" t="s">
        <v>202</v>
      </c>
      <c r="J21" s="7" t="s">
        <v>285</v>
      </c>
      <c r="K21" s="7" t="str">
        <f aca="false">IF(J21="","",IFERROR(INDEX(Staff!$B$4:$B$40,MATCH(J21,Staff!$A$4:$A$40,0)),"NOT FOUND"))</f>
        <v>Liam Doyle</v>
      </c>
      <c r="L21" s="7" t="s">
        <v>179</v>
      </c>
      <c r="M21" s="7" t="s">
        <v>327</v>
      </c>
      <c r="N21" s="7" t="s">
        <v>328</v>
      </c>
      <c r="O21" s="24"/>
    </row>
    <row r="22" customFormat="false" ht="15" hidden="false" customHeight="true" outlineLevel="0" collapsed="false">
      <c r="A22" s="7" t="s">
        <v>352</v>
      </c>
      <c r="B22" s="5" t="n">
        <v>46332</v>
      </c>
      <c r="C22" s="7" t="str">
        <f aca="false">TEXT(B22,"ddd")</f>
        <v>Fri</v>
      </c>
      <c r="D22" s="23" t="n">
        <v>0.375</v>
      </c>
      <c r="E22" s="23" t="n">
        <v>0.416666666666667</v>
      </c>
      <c r="F22" s="20" t="n">
        <f aca="false">IF(AND(ISNUMBER(D22),ISNUMBER(E22)),(E22-D22)*24,"")</f>
        <v>1</v>
      </c>
      <c r="G22" s="7" t="s">
        <v>203</v>
      </c>
      <c r="H22" s="7" t="str">
        <f aca="false">IF(G22="","",IFERROR(INDEX(Participants!$B$4:$B$15,MATCH(G22,Participants!$A$4:$A$15,0)),"NOT FOUND"))</f>
        <v>Lucia Fernandez</v>
      </c>
      <c r="I22" s="7" t="s">
        <v>353</v>
      </c>
      <c r="J22" s="7" t="s">
        <v>303</v>
      </c>
      <c r="K22" s="7" t="str">
        <f aca="false">IF(J22="","",IFERROR(INDEX(Staff!$B$4:$B$40,MATCH(J22,Staff!$A$4:$A$40,0)),"NOT FOUND"))</f>
        <v>Dana Okafor</v>
      </c>
      <c r="L22" s="7" t="s">
        <v>179</v>
      </c>
      <c r="M22" s="7" t="s">
        <v>327</v>
      </c>
      <c r="N22" s="7" t="s">
        <v>328</v>
      </c>
      <c r="O22" s="24"/>
    </row>
    <row r="23" customFormat="false" ht="15" hidden="false" customHeight="true" outlineLevel="0" collapsed="false">
      <c r="A23" s="7" t="s">
        <v>354</v>
      </c>
      <c r="B23" s="5" t="n">
        <v>46333</v>
      </c>
      <c r="C23" s="7" t="str">
        <f aca="false">TEXT(B23,"ddd")</f>
        <v>Sat</v>
      </c>
      <c r="D23" s="23" t="n">
        <v>0.375</v>
      </c>
      <c r="E23" s="23" t="n">
        <v>0.541666666666667</v>
      </c>
      <c r="F23" s="20" t="n">
        <f aca="false">IF(AND(ISNUMBER(D23),ISNUMBER(E23)),(E23-D23)*24,"")</f>
        <v>4</v>
      </c>
      <c r="G23" s="7" t="s">
        <v>208</v>
      </c>
      <c r="H23" s="7" t="str">
        <f aca="false">IF(G23="","",IFERROR(INDEX(Participants!$B$4:$B$15,MATCH(G23,Participants!$A$4:$A$15,0)),"NOT FOUND"))</f>
        <v>Ben Taylor</v>
      </c>
      <c r="I23" s="7" t="s">
        <v>211</v>
      </c>
      <c r="J23" s="7" t="s">
        <v>278</v>
      </c>
      <c r="K23" s="7" t="str">
        <f aca="false">IF(J23="","",IFERROR(INDEX(Staff!$B$4:$B$40,MATCH(J23,Staff!$A$4:$A$40,0)),"NOT FOUND"))</f>
        <v>Isla Barrett</v>
      </c>
      <c r="L23" s="7" t="s">
        <v>210</v>
      </c>
      <c r="M23" s="7" t="s">
        <v>327</v>
      </c>
      <c r="N23" s="7" t="s">
        <v>328</v>
      </c>
      <c r="O23" s="24"/>
    </row>
    <row r="24" customFormat="false" ht="15" hidden="false" customHeight="true" outlineLevel="0" collapsed="false">
      <c r="A24" s="7" t="s">
        <v>355</v>
      </c>
      <c r="B24" s="5" t="n">
        <v>46333</v>
      </c>
      <c r="C24" s="7" t="str">
        <f aca="false">TEXT(B24,"ddd")</f>
        <v>Sat</v>
      </c>
      <c r="D24" s="23" t="n">
        <v>0.375</v>
      </c>
      <c r="E24" s="23" t="n">
        <v>0.541666666666667</v>
      </c>
      <c r="F24" s="20" t="n">
        <f aca="false">IF(AND(ISNUMBER(D24),ISNUMBER(E24)),(E24-D24)*24,"")</f>
        <v>4</v>
      </c>
      <c r="G24" s="7" t="s">
        <v>177</v>
      </c>
      <c r="H24" s="7" t="str">
        <f aca="false">IF(G24="","",IFERROR(INDEX(Participants!$B$4:$B$15,MATCH(G24,Participants!$A$4:$A$15,0)),"NOT FOUND"))</f>
        <v>Marisol Reyes</v>
      </c>
      <c r="I24" s="7" t="s">
        <v>211</v>
      </c>
      <c r="J24" s="7" t="s">
        <v>282</v>
      </c>
      <c r="K24" s="7" t="str">
        <f aca="false">IF(J24="","",IFERROR(INDEX(Staff!$B$4:$B$40,MATCH(J24,Staff!$A$4:$A$40,0)),"NOT FOUND"))</f>
        <v>Mei Tanaka</v>
      </c>
      <c r="L24" s="7" t="s">
        <v>179</v>
      </c>
      <c r="M24" s="7" t="s">
        <v>327</v>
      </c>
      <c r="N24" s="7" t="s">
        <v>328</v>
      </c>
      <c r="O24" s="24"/>
    </row>
    <row r="25" customFormat="false" ht="15" hidden="false" customHeight="true" outlineLevel="0" collapsed="false">
      <c r="A25" s="7" t="s">
        <v>356</v>
      </c>
      <c r="B25" s="5" t="n">
        <v>46333</v>
      </c>
      <c r="C25" s="7" t="str">
        <f aca="false">TEXT(B25,"ddd")</f>
        <v>Sat</v>
      </c>
      <c r="D25" s="23" t="n">
        <v>0.416666666666667</v>
      </c>
      <c r="E25" s="23" t="n">
        <v>0.583333333333333</v>
      </c>
      <c r="F25" s="20" t="n">
        <f aca="false">IF(AND(ISNUMBER(D25),ISNUMBER(E25)),(E25-D25)*24,"")</f>
        <v>4</v>
      </c>
      <c r="G25" s="7" t="s">
        <v>218</v>
      </c>
      <c r="H25" s="7" t="str">
        <f aca="false">IF(G25="","",IFERROR(INDEX(Participants!$B$4:$B$15,MATCH(G25,Participants!$A$4:$A$15,0)),"NOT FOUND"))</f>
        <v>Hannah Kowalski</v>
      </c>
      <c r="I25" s="7" t="s">
        <v>202</v>
      </c>
      <c r="J25" s="7" t="s">
        <v>287</v>
      </c>
      <c r="K25" s="7" t="str">
        <f aca="false">IF(J25="","",IFERROR(INDEX(Staff!$B$4:$B$40,MATCH(J25,Staff!$A$4:$A$40,0)),"NOT FOUND"))</f>
        <v>Farah Hussein</v>
      </c>
      <c r="L25" s="7" t="s">
        <v>179</v>
      </c>
      <c r="M25" s="7" t="s">
        <v>327</v>
      </c>
      <c r="N25" s="7" t="s">
        <v>328</v>
      </c>
      <c r="O25" s="24"/>
    </row>
    <row r="26" customFormat="false" ht="15" hidden="false" customHeight="true" outlineLevel="0" collapsed="false">
      <c r="A26" s="7" t="s">
        <v>357</v>
      </c>
      <c r="B26" s="5" t="n">
        <v>46334</v>
      </c>
      <c r="C26" s="7" t="str">
        <f aca="false">TEXT(B26,"ddd")</f>
        <v>Sun</v>
      </c>
      <c r="D26" s="23" t="n">
        <v>0.416666666666667</v>
      </c>
      <c r="E26" s="23" t="n">
        <v>0.583333333333333</v>
      </c>
      <c r="F26" s="20" t="n">
        <f aca="false">IF(AND(ISNUMBER(D26),ISNUMBER(E26)),(E26-D26)*24,"")</f>
        <v>4</v>
      </c>
      <c r="G26" s="7" t="s">
        <v>220</v>
      </c>
      <c r="H26" s="7" t="str">
        <f aca="false">IF(G26="","",IFERROR(INDEX(Participants!$B$4:$B$15,MATCH(G26,Participants!$A$4:$A$15,0)),"NOT FOUND"))</f>
        <v>Ravi Patel</v>
      </c>
      <c r="I26" s="7" t="s">
        <v>202</v>
      </c>
      <c r="J26" s="7" t="s">
        <v>282</v>
      </c>
      <c r="K26" s="7" t="str">
        <f aca="false">IF(J26="","",IFERROR(INDEX(Staff!$B$4:$B$40,MATCH(J26,Staff!$A$4:$A$40,0)),"NOT FOUND"))</f>
        <v>Mei Tanaka</v>
      </c>
      <c r="L26" s="7" t="s">
        <v>179</v>
      </c>
      <c r="M26" s="7" t="s">
        <v>327</v>
      </c>
      <c r="N26" s="7" t="s">
        <v>328</v>
      </c>
      <c r="O26" s="24"/>
    </row>
    <row r="27" customFormat="false" ht="15" hidden="false" customHeight="true" outlineLevel="0" collapsed="false">
      <c r="A27" s="7" t="s">
        <v>358</v>
      </c>
      <c r="B27" s="5" t="n">
        <v>46334</v>
      </c>
      <c r="C27" s="7" t="str">
        <f aca="false">TEXT(B27,"ddd")</f>
        <v>Sun</v>
      </c>
      <c r="D27" s="23" t="n">
        <v>0.375</v>
      </c>
      <c r="E27" s="23" t="n">
        <v>0.541666666666667</v>
      </c>
      <c r="F27" s="20" t="n">
        <f aca="false">IF(AND(ISNUMBER(D27),ISNUMBER(E27)),(E27-D27)*24,"")</f>
        <v>4</v>
      </c>
      <c r="G27" s="7" t="s">
        <v>200</v>
      </c>
      <c r="H27" s="7" t="str">
        <f aca="false">IF(G27="","",IFERROR(INDEX(Participants!$B$4:$B$15,MATCH(G27,Participants!$A$4:$A$15,0)),"NOT FOUND"))</f>
        <v>Jack O'Connor</v>
      </c>
      <c r="I27" s="7" t="s">
        <v>202</v>
      </c>
      <c r="J27" s="7" t="s">
        <v>289</v>
      </c>
      <c r="K27" s="7" t="str">
        <f aca="false">IF(J27="","",IFERROR(INDEX(Staff!$B$4:$B$40,MATCH(J27,Staff!$A$4:$A$40,0)),"NOT FOUND"))</f>
        <v>George Papadakis</v>
      </c>
      <c r="L27" s="7" t="s">
        <v>179</v>
      </c>
      <c r="M27" s="7" t="s">
        <v>327</v>
      </c>
      <c r="N27" s="7" t="s">
        <v>328</v>
      </c>
      <c r="O27" s="24"/>
    </row>
    <row r="28" customFormat="false" ht="15" hidden="false" customHeight="true" outlineLevel="0" collapsed="false">
      <c r="A28" s="7" t="s">
        <v>359</v>
      </c>
      <c r="B28" s="5" t="n">
        <v>46334</v>
      </c>
      <c r="C28" s="7" t="str">
        <f aca="false">TEXT(B28,"ddd")</f>
        <v>Sun</v>
      </c>
      <c r="D28" s="23" t="n">
        <v>0.458333333333333</v>
      </c>
      <c r="E28" s="23" t="n">
        <v>0.541666666666667</v>
      </c>
      <c r="F28" s="20" t="n">
        <f aca="false">IF(AND(ISNUMBER(D28),ISNUMBER(E28)),(E28-D28)*24,"")</f>
        <v>2</v>
      </c>
      <c r="G28" s="7" t="s">
        <v>184</v>
      </c>
      <c r="H28" s="7" t="str">
        <f aca="false">IF(G28="","",IFERROR(INDEX(Participants!$B$4:$B$15,MATCH(G28,Participants!$A$4:$A$15,0)),"NOT FOUND"))</f>
        <v>Daniel Whitfield</v>
      </c>
      <c r="I28" s="7" t="s">
        <v>211</v>
      </c>
      <c r="J28" s="7" t="s">
        <v>263</v>
      </c>
      <c r="K28" s="7" t="str">
        <f aca="false">IF(J28="","",IFERROR(INDEX(Staff!$B$4:$B$40,MATCH(J28,Staff!$A$4:$A$40,0)),"NOT FOUND"))</f>
        <v>Ethan Clarke</v>
      </c>
      <c r="L28" s="7" t="s">
        <v>179</v>
      </c>
      <c r="M28" s="7" t="s">
        <v>327</v>
      </c>
      <c r="N28" s="7" t="s">
        <v>328</v>
      </c>
      <c r="O28" s="24"/>
    </row>
    <row r="29" customFormat="false" ht="15" hidden="false" customHeight="true" outlineLevel="0" collapsed="false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4"/>
    </row>
    <row r="30" customFormat="false" ht="15" hidden="false" customHeight="true" outlineLevel="0" collapsed="false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4"/>
    </row>
    <row r="31" customFormat="false" ht="15" hidden="false" customHeight="true" outlineLevel="0" collapsed="false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4"/>
    </row>
    <row r="32" customFormat="false" ht="15" hidden="false" customHeight="true" outlineLevel="0" collapsed="false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4"/>
    </row>
    <row r="33" customFormat="false" ht="15" hidden="false" customHeight="true" outlineLevel="0" collapsed="false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4"/>
    </row>
  </sheetData>
  <dataValidations count="1">
    <dataValidation allowBlank="true" errorStyle="stop" operator="between" showDropDown="false" showErrorMessage="false" showInputMessage="false" sqref="M4:M60" type="list">
      <formula1>"Confirmed,Cancelled,Unfilled"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A441"/>
    <pageSetUpPr fitToPage="false"/>
  </sheetPr>
  <dimension ref="A1:G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41"/>
    <col collapsed="false" customWidth="true" hidden="false" outlineLevel="0" max="3" min="3" style="1" width="19"/>
    <col collapsed="false" customWidth="true" hidden="false" outlineLevel="0" max="4" min="4" style="1" width="28"/>
    <col collapsed="false" customWidth="true" hidden="false" outlineLevel="0" max="5" min="5" style="1" width="10"/>
    <col collapsed="false" customWidth="true" hidden="false" outlineLevel="0" max="6" min="6" style="1" width="30"/>
    <col collapsed="false" customWidth="true" hidden="false" outlineLevel="0" max="7" min="7" style="1" width="21"/>
  </cols>
  <sheetData>
    <row r="1" customFormat="false" ht="17.25" hidden="false" customHeight="true" outlineLevel="0" collapsed="false">
      <c r="A1" s="14" t="s">
        <v>360</v>
      </c>
    </row>
    <row r="2" customFormat="false" ht="15" hidden="false" customHeight="true" outlineLevel="0" collapsed="false">
      <c r="A2" s="15" t="s">
        <v>361</v>
      </c>
    </row>
    <row r="3" customFormat="false" ht="33.75" hidden="false" customHeight="true" outlineLevel="0" collapsed="false">
      <c r="A3" s="16" t="s">
        <v>362</v>
      </c>
      <c r="B3" s="16" t="s">
        <v>363</v>
      </c>
      <c r="C3" s="16" t="s">
        <v>364</v>
      </c>
      <c r="D3" s="16" t="s">
        <v>365</v>
      </c>
      <c r="E3" s="16" t="s">
        <v>366</v>
      </c>
      <c r="F3" s="16" t="s">
        <v>367</v>
      </c>
      <c r="G3" s="16" t="s">
        <v>368</v>
      </c>
    </row>
    <row r="4" customFormat="false" ht="15" hidden="false" customHeight="true" outlineLevel="0" collapsed="false">
      <c r="A4" s="7" t="s">
        <v>369</v>
      </c>
      <c r="B4" s="7" t="s">
        <v>370</v>
      </c>
      <c r="C4" s="7" t="s">
        <v>188</v>
      </c>
      <c r="D4" s="7" t="s">
        <v>371</v>
      </c>
      <c r="E4" s="7" t="s">
        <v>372</v>
      </c>
      <c r="F4" s="26" t="n">
        <v>60</v>
      </c>
      <c r="G4" s="5" t="n">
        <v>46204</v>
      </c>
    </row>
    <row r="5" customFormat="false" ht="15" hidden="false" customHeight="true" outlineLevel="0" collapsed="false">
      <c r="A5" s="7" t="s">
        <v>373</v>
      </c>
      <c r="B5" s="7" t="s">
        <v>374</v>
      </c>
      <c r="C5" s="7" t="s">
        <v>188</v>
      </c>
      <c r="D5" s="7" t="s">
        <v>371</v>
      </c>
      <c r="E5" s="7" t="s">
        <v>372</v>
      </c>
      <c r="F5" s="26" t="n">
        <v>66</v>
      </c>
      <c r="G5" s="5" t="n">
        <v>46204</v>
      </c>
    </row>
    <row r="6" customFormat="false" ht="15" hidden="false" customHeight="true" outlineLevel="0" collapsed="false">
      <c r="A6" s="7" t="s">
        <v>375</v>
      </c>
      <c r="B6" s="7" t="s">
        <v>376</v>
      </c>
      <c r="C6" s="7" t="s">
        <v>188</v>
      </c>
      <c r="D6" s="7" t="s">
        <v>371</v>
      </c>
      <c r="E6" s="7" t="s">
        <v>372</v>
      </c>
      <c r="F6" s="26" t="n">
        <v>84</v>
      </c>
      <c r="G6" s="5" t="n">
        <v>46204</v>
      </c>
    </row>
    <row r="7" customFormat="false" ht="15" hidden="false" customHeight="true" outlineLevel="0" collapsed="false">
      <c r="A7" s="7" t="s">
        <v>377</v>
      </c>
      <c r="B7" s="7" t="s">
        <v>378</v>
      </c>
      <c r="C7" s="7" t="s">
        <v>188</v>
      </c>
      <c r="D7" s="7" t="s">
        <v>371</v>
      </c>
      <c r="E7" s="7" t="s">
        <v>372</v>
      </c>
      <c r="F7" s="26" t="n">
        <v>108</v>
      </c>
      <c r="G7" s="5" t="n">
        <v>46204</v>
      </c>
    </row>
    <row r="8" customFormat="false" ht="15" hidden="false" customHeight="true" outlineLevel="0" collapsed="false">
      <c r="A8" s="7" t="s">
        <v>379</v>
      </c>
      <c r="B8" s="7" t="s">
        <v>380</v>
      </c>
      <c r="C8" s="7" t="s">
        <v>188</v>
      </c>
      <c r="D8" s="7" t="s">
        <v>371</v>
      </c>
      <c r="E8" s="7" t="s">
        <v>372</v>
      </c>
      <c r="F8" s="26" t="n">
        <v>132</v>
      </c>
      <c r="G8" s="5" t="n">
        <v>46204</v>
      </c>
    </row>
    <row r="9" customFormat="false" ht="15" hidden="false" customHeight="true" outlineLevel="0" collapsed="false">
      <c r="A9" s="7" t="s">
        <v>381</v>
      </c>
      <c r="B9" s="7" t="s">
        <v>382</v>
      </c>
      <c r="C9" s="7" t="s">
        <v>188</v>
      </c>
      <c r="D9" s="7" t="s">
        <v>383</v>
      </c>
      <c r="E9" s="7" t="s">
        <v>372</v>
      </c>
      <c r="F9" s="26" t="n">
        <v>62</v>
      </c>
      <c r="G9" s="5" t="n">
        <v>46204</v>
      </c>
    </row>
    <row r="10" customFormat="false" ht="15" hidden="false" customHeight="true" outlineLevel="0" collapsed="false">
      <c r="A10" s="7" t="s">
        <v>384</v>
      </c>
      <c r="B10" s="7" t="s">
        <v>385</v>
      </c>
      <c r="C10" s="7" t="s">
        <v>188</v>
      </c>
      <c r="D10" s="7" t="s">
        <v>383</v>
      </c>
      <c r="E10" s="7" t="s">
        <v>372</v>
      </c>
      <c r="F10" s="26" t="n">
        <v>87</v>
      </c>
      <c r="G10" s="5" t="n">
        <v>46204</v>
      </c>
    </row>
    <row r="11" customFormat="false" ht="15" hidden="false" customHeight="true" outlineLevel="0" collapsed="false">
      <c r="A11" s="7" t="s">
        <v>386</v>
      </c>
      <c r="B11" s="7" t="s">
        <v>387</v>
      </c>
      <c r="C11" s="7" t="s">
        <v>206</v>
      </c>
      <c r="D11" s="7" t="s">
        <v>388</v>
      </c>
      <c r="E11" s="7" t="s">
        <v>372</v>
      </c>
      <c r="F11" s="26" t="n">
        <v>100</v>
      </c>
      <c r="G11" s="5" t="n">
        <v>46204</v>
      </c>
    </row>
    <row r="12" customFormat="false" ht="15" hidden="false" customHeight="true" outlineLevel="0" collapsed="false">
      <c r="A12" s="7" t="s">
        <v>389</v>
      </c>
      <c r="B12" s="7" t="s">
        <v>390</v>
      </c>
      <c r="C12" s="7" t="s">
        <v>206</v>
      </c>
      <c r="D12" s="7" t="s">
        <v>171</v>
      </c>
      <c r="E12" s="7" t="s">
        <v>391</v>
      </c>
      <c r="F12" s="26" t="n">
        <v>200</v>
      </c>
      <c r="G12" s="5" t="n">
        <v>46204</v>
      </c>
    </row>
    <row r="13" customFormat="false" ht="15" hidden="false" customHeight="true" outlineLevel="0" collapsed="false">
      <c r="A13" s="7" t="s">
        <v>392</v>
      </c>
      <c r="B13" s="7" t="s">
        <v>393</v>
      </c>
      <c r="C13" s="7" t="s">
        <v>206</v>
      </c>
      <c r="D13" s="7" t="s">
        <v>171</v>
      </c>
      <c r="E13" s="7" t="s">
        <v>394</v>
      </c>
      <c r="F13" s="26" t="n">
        <v>60</v>
      </c>
      <c r="G13" s="5" t="n">
        <v>46204</v>
      </c>
    </row>
    <row r="14" customFormat="false" ht="15" hidden="false" customHeight="true" outlineLevel="0" collapsed="false">
      <c r="A14" s="7" t="s">
        <v>395</v>
      </c>
      <c r="B14" s="7" t="s">
        <v>396</v>
      </c>
      <c r="C14" s="7" t="s">
        <v>206</v>
      </c>
      <c r="D14" s="7" t="s">
        <v>397</v>
      </c>
      <c r="E14" s="7" t="s">
        <v>372</v>
      </c>
      <c r="F14" s="26" t="n">
        <v>190</v>
      </c>
      <c r="G14" s="5" t="n">
        <v>46204</v>
      </c>
    </row>
    <row r="15" customFormat="false" ht="15" hidden="false" customHeight="true" outlineLevel="0" collapsed="false">
      <c r="A15" s="7" t="s">
        <v>398</v>
      </c>
      <c r="B15" s="7" t="s">
        <v>399</v>
      </c>
      <c r="C15" s="7" t="s">
        <v>206</v>
      </c>
      <c r="D15" s="7" t="s">
        <v>397</v>
      </c>
      <c r="E15" s="7" t="s">
        <v>372</v>
      </c>
      <c r="F15" s="26" t="n">
        <v>175</v>
      </c>
      <c r="G15" s="5" t="n">
        <v>46204</v>
      </c>
    </row>
    <row r="16" customFormat="false" ht="15" hidden="false" customHeight="true" outlineLevel="0" collapsed="false">
      <c r="A16" s="7" t="s">
        <v>400</v>
      </c>
      <c r="B16" s="7" t="s">
        <v>401</v>
      </c>
      <c r="C16" s="7" t="s">
        <v>206</v>
      </c>
      <c r="D16" s="7" t="s">
        <v>397</v>
      </c>
      <c r="E16" s="7" t="s">
        <v>372</v>
      </c>
      <c r="F16" s="26" t="n">
        <v>220</v>
      </c>
      <c r="G16" s="5" t="n">
        <v>46204</v>
      </c>
    </row>
    <row r="17" customFormat="false" ht="15" hidden="false" customHeight="true" outlineLevel="0" collapsed="false">
      <c r="A17" s="7" t="s">
        <v>402</v>
      </c>
      <c r="B17" s="7" t="s">
        <v>403</v>
      </c>
      <c r="C17" s="7" t="s">
        <v>188</v>
      </c>
      <c r="D17" s="7" t="s">
        <v>404</v>
      </c>
      <c r="E17" s="7" t="s">
        <v>405</v>
      </c>
      <c r="F17" s="26" t="n">
        <v>1</v>
      </c>
      <c r="G17" s="5" t="n">
        <v>46204</v>
      </c>
    </row>
    <row r="18" customFormat="false" ht="15" hidden="false" customHeight="true" outlineLevel="0" collapsed="false">
      <c r="A18" s="24"/>
      <c r="B18" s="24"/>
      <c r="C18" s="24"/>
      <c r="D18" s="24"/>
      <c r="E18" s="24"/>
      <c r="F18" s="24"/>
      <c r="G18" s="24"/>
    </row>
    <row r="19" customFormat="false" ht="15" hidden="false" customHeight="true" outlineLevel="0" collapsed="false">
      <c r="A19" s="24"/>
      <c r="B19" s="24"/>
      <c r="C19" s="24"/>
      <c r="D19" s="24"/>
      <c r="E19" s="24"/>
      <c r="F19" s="24"/>
      <c r="G19" s="24"/>
    </row>
    <row r="20" customFormat="false" ht="15" hidden="false" customHeight="true" outlineLevel="0" collapsed="false">
      <c r="A20" s="24"/>
      <c r="B20" s="24"/>
      <c r="C20" s="24"/>
      <c r="D20" s="24"/>
      <c r="E20" s="24"/>
      <c r="F20" s="24"/>
      <c r="G20" s="24"/>
    </row>
    <row r="21" customFormat="false" ht="15" hidden="false" customHeight="true" outlineLevel="0" collapsed="false">
      <c r="A21" s="24"/>
      <c r="B21" s="24"/>
      <c r="C21" s="24"/>
      <c r="D21" s="24"/>
      <c r="E21" s="24"/>
      <c r="F21" s="24"/>
      <c r="G21" s="24"/>
    </row>
    <row r="22" customFormat="false" ht="15" hidden="false" customHeight="true" outlineLevel="0" collapsed="false">
      <c r="A22" s="24"/>
      <c r="B22" s="24"/>
      <c r="C22" s="24"/>
      <c r="D22" s="24"/>
      <c r="E22" s="24"/>
      <c r="F22" s="24"/>
      <c r="G22" s="24"/>
    </row>
    <row r="23" customFormat="false" ht="15" hidden="false" customHeight="true" outlineLevel="0" collapsed="false">
      <c r="A23" s="24"/>
      <c r="B23" s="24"/>
      <c r="C23" s="24"/>
      <c r="D23" s="24"/>
      <c r="E23" s="24"/>
      <c r="F23" s="24"/>
      <c r="G23" s="24"/>
    </row>
    <row r="24" customFormat="false" ht="15" hidden="false" customHeight="true" outlineLevel="0" collapsed="false">
      <c r="A24" s="6" t="s">
        <v>406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5F"/>
    <pageSetUpPr fitToPage="false"/>
  </sheetPr>
  <dimension ref="A1:N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1" width="42"/>
    <col collapsed="false" customWidth="true" hidden="false" outlineLevel="0" max="3" min="3" style="1" width="16"/>
    <col collapsed="false" customWidth="true" hidden="false" outlineLevel="0" max="5" min="4" style="1" width="42"/>
    <col collapsed="false" customWidth="true" hidden="false" outlineLevel="0" max="6" min="6" style="1" width="11"/>
    <col collapsed="false" customWidth="true" hidden="false" outlineLevel="0" max="7" min="7" style="1" width="42"/>
    <col collapsed="false" customWidth="true" hidden="false" outlineLevel="0" max="8" min="8" style="1" width="10"/>
    <col collapsed="false" customWidth="true" hidden="false" outlineLevel="0" max="9" min="9" style="1" width="42"/>
    <col collapsed="false" customWidth="true" hidden="false" outlineLevel="0" max="10" min="10" style="1" width="14"/>
    <col collapsed="false" customWidth="true" hidden="false" outlineLevel="0" max="13" min="11" style="1" width="42"/>
    <col collapsed="false" customWidth="true" hidden="false" outlineLevel="0" max="14" min="14" style="1" width="11"/>
  </cols>
  <sheetData>
    <row r="1" customFormat="false" ht="17.25" hidden="false" customHeight="true" outlineLevel="0" collapsed="false">
      <c r="A1" s="14" t="s">
        <v>407</v>
      </c>
    </row>
    <row r="2" customFormat="false" ht="15" hidden="false" customHeight="true" outlineLevel="0" collapsed="false">
      <c r="A2" s="15" t="s">
        <v>408</v>
      </c>
      <c r="B2" s="1" t="s">
        <v>409</v>
      </c>
    </row>
    <row r="3" customFormat="false" ht="33.75" hidden="false" customHeight="true" outlineLevel="0" collapsed="false">
      <c r="A3" s="16" t="s">
        <v>410</v>
      </c>
      <c r="B3" s="16" t="s">
        <v>411</v>
      </c>
      <c r="C3" s="16" t="s">
        <v>318</v>
      </c>
      <c r="D3" s="16" t="s">
        <v>319</v>
      </c>
      <c r="E3" s="16" t="s">
        <v>171</v>
      </c>
      <c r="F3" s="16" t="s">
        <v>362</v>
      </c>
      <c r="G3" s="16" t="s">
        <v>412</v>
      </c>
      <c r="H3" s="16" t="s">
        <v>413</v>
      </c>
      <c r="I3" s="16" t="s">
        <v>366</v>
      </c>
      <c r="J3" s="16" t="s">
        <v>414</v>
      </c>
      <c r="K3" s="16" t="s">
        <v>415</v>
      </c>
      <c r="L3" s="16" t="s">
        <v>416</v>
      </c>
      <c r="M3" s="16" t="s">
        <v>417</v>
      </c>
      <c r="N3" s="16" t="s">
        <v>418</v>
      </c>
    </row>
    <row r="4" customFormat="false" ht="15" hidden="false" customHeight="true" outlineLevel="0" collapsed="false">
      <c r="A4" s="7" t="s">
        <v>419</v>
      </c>
      <c r="B4" s="5" t="n">
        <v>46321</v>
      </c>
      <c r="C4" s="7" t="s">
        <v>177</v>
      </c>
      <c r="D4" s="7" t="str">
        <f aca="false">IFERROR(INDEX(Participants!$B$4:$B$15,MATCH(C4,Participants!$A$4:$A$15,0)),"NOT FOUND")</f>
        <v>Marisol Reyes</v>
      </c>
      <c r="E4" s="7" t="str">
        <f aca="false">IFERROR(INDEX(Participants!$D$4:$D$15,MATCH(C4,Participants!$A$4:$A$15,0)),"NOT FOUND")</f>
        <v>Plan-managed</v>
      </c>
      <c r="F4" s="7" t="s">
        <v>381</v>
      </c>
      <c r="G4" s="7" t="str">
        <f aca="false">IFERROR(INDEX(Price_Table!$B$4:$B$40,MATCH(F4,Price_Table!$A$4:$A$40,0)),"NOT FOUND")</f>
        <v>Community access - weekday daytime</v>
      </c>
      <c r="H4" s="20" t="n">
        <v>2</v>
      </c>
      <c r="I4" s="7" t="str">
        <f aca="false">IFERROR(INDEX(Price_Table!$E$4:$E$40,MATCH(F4,Price_Table!$A$4:$A$40,0)),"")</f>
        <v>hour</v>
      </c>
      <c r="J4" s="26" t="n">
        <v>62</v>
      </c>
      <c r="K4" s="26" t="n">
        <f aca="false">IFERROR(INDEX(Price_Table!$F$4:$F$40,MATCH(F4,Price_Table!$A$4:$A$40,0)),"")</f>
        <v>62</v>
      </c>
      <c r="L4" s="26" t="n">
        <f aca="false">IF(AND(ISNUMBER(H4),ISNUMBER(J4)),H4*J4,"")</f>
        <v>124</v>
      </c>
      <c r="M4" s="24"/>
      <c r="N4" s="24"/>
    </row>
    <row r="5" customFormat="false" ht="15" hidden="false" customHeight="true" outlineLevel="0" collapsed="false">
      <c r="A5" s="7" t="s">
        <v>420</v>
      </c>
      <c r="B5" s="5" t="n">
        <v>46321</v>
      </c>
      <c r="C5" s="7" t="s">
        <v>194</v>
      </c>
      <c r="D5" s="7" t="str">
        <f aca="false">IFERROR(INDEX(Participants!$B$4:$B$15,MATCH(C5,Participants!$A$4:$A$15,0)),"NOT FOUND")</f>
        <v>Tom Nguyen</v>
      </c>
      <c r="E5" s="7" t="str">
        <f aca="false">IFERROR(INDEX(Participants!$D$4:$D$15,MATCH(C5,Participants!$A$4:$A$15,0)),"NOT FOUND")</f>
        <v>Plan-managed</v>
      </c>
      <c r="F5" s="7" t="s">
        <v>369</v>
      </c>
      <c r="G5" s="7" t="str">
        <f aca="false">IFERROR(INDEX(Price_Table!$B$4:$B$40,MATCH(F5,Price_Table!$A$4:$A$40,0)),"NOT FOUND")</f>
        <v>Daily living support - weekday daytime</v>
      </c>
      <c r="H5" s="20" t="n">
        <v>4</v>
      </c>
      <c r="I5" s="7" t="str">
        <f aca="false">IFERROR(INDEX(Price_Table!$E$4:$E$40,MATCH(F5,Price_Table!$A$4:$A$40,0)),"")</f>
        <v>hour</v>
      </c>
      <c r="J5" s="26" t="n">
        <v>60</v>
      </c>
      <c r="K5" s="26" t="n">
        <f aca="false">IFERROR(INDEX(Price_Table!$F$4:$F$40,MATCH(F5,Price_Table!$A$4:$A$40,0)),"")</f>
        <v>60</v>
      </c>
      <c r="L5" s="26" t="n">
        <f aca="false">IF(AND(ISNUMBER(H5),ISNUMBER(J5)),H5*J5,"")</f>
        <v>240</v>
      </c>
      <c r="M5" s="24"/>
      <c r="N5" s="24"/>
    </row>
    <row r="6" customFormat="false" ht="15" hidden="false" customHeight="true" outlineLevel="0" collapsed="false">
      <c r="A6" s="7" t="s">
        <v>421</v>
      </c>
      <c r="B6" s="5" t="n">
        <v>46322</v>
      </c>
      <c r="C6" s="7" t="s">
        <v>200</v>
      </c>
      <c r="D6" s="7" t="str">
        <f aca="false">IFERROR(INDEX(Participants!$B$4:$B$15,MATCH(C6,Participants!$A$4:$A$15,0)),"NOT FOUND")</f>
        <v>Jack O'Connor</v>
      </c>
      <c r="E6" s="7" t="str">
        <f aca="false">IFERROR(INDEX(Participants!$D$4:$D$15,MATCH(C6,Participants!$A$4:$A$15,0)),"NOT FOUND")</f>
        <v>NDIA-managed</v>
      </c>
      <c r="F6" s="7" t="s">
        <v>369</v>
      </c>
      <c r="G6" s="7" t="str">
        <f aca="false">IFERROR(INDEX(Price_Table!$B$4:$B$40,MATCH(F6,Price_Table!$A$4:$A$40,0)),"NOT FOUND")</f>
        <v>Daily living support - weekday daytime</v>
      </c>
      <c r="H6" s="20" t="n">
        <v>4</v>
      </c>
      <c r="I6" s="7" t="str">
        <f aca="false">IFERROR(INDEX(Price_Table!$E$4:$E$40,MATCH(F6,Price_Table!$A$4:$A$40,0)),"")</f>
        <v>hour</v>
      </c>
      <c r="J6" s="26" t="n">
        <v>60</v>
      </c>
      <c r="K6" s="26" t="n">
        <f aca="false">IFERROR(INDEX(Price_Table!$F$4:$F$40,MATCH(F6,Price_Table!$A$4:$A$40,0)),"")</f>
        <v>60</v>
      </c>
      <c r="L6" s="26" t="n">
        <f aca="false">IF(AND(ISNUMBER(H6),ISNUMBER(J6)),H6*J6,"")</f>
        <v>240</v>
      </c>
      <c r="M6" s="24"/>
      <c r="N6" s="24"/>
    </row>
    <row r="7" customFormat="false" ht="15" hidden="false" customHeight="true" outlineLevel="0" collapsed="false">
      <c r="A7" s="7" t="s">
        <v>422</v>
      </c>
      <c r="B7" s="5" t="n">
        <v>46321</v>
      </c>
      <c r="C7" s="7" t="s">
        <v>177</v>
      </c>
      <c r="D7" s="7" t="str">
        <f aca="false">IFERROR(INDEX(Participants!$B$4:$B$15,MATCH(C7,Participants!$A$4:$A$15,0)),"NOT FOUND")</f>
        <v>Marisol Reyes</v>
      </c>
      <c r="E7" s="7" t="str">
        <f aca="false">IFERROR(INDEX(Participants!$D$4:$D$15,MATCH(C7,Participants!$A$4:$A$15,0)),"NOT FOUND")</f>
        <v>Plan-managed</v>
      </c>
      <c r="F7" s="7" t="s">
        <v>381</v>
      </c>
      <c r="G7" s="7" t="str">
        <f aca="false">IFERROR(INDEX(Price_Table!$B$4:$B$40,MATCH(F7,Price_Table!$A$4:$A$40,0)),"NOT FOUND")</f>
        <v>Community access - weekday daytime</v>
      </c>
      <c r="H7" s="20" t="n">
        <v>2</v>
      </c>
      <c r="I7" s="7" t="str">
        <f aca="false">IFERROR(INDEX(Price_Table!$E$4:$E$40,MATCH(F7,Price_Table!$A$4:$A$40,0)),"")</f>
        <v>hour</v>
      </c>
      <c r="J7" s="26" t="n">
        <v>62</v>
      </c>
      <c r="K7" s="26" t="n">
        <f aca="false">IFERROR(INDEX(Price_Table!$F$4:$F$40,MATCH(F7,Price_Table!$A$4:$A$40,0)),"")</f>
        <v>62</v>
      </c>
      <c r="L7" s="26" t="n">
        <f aca="false">IF(AND(ISNUMBER(H7),ISNUMBER(J7)),H7*J7,"")</f>
        <v>124</v>
      </c>
      <c r="M7" s="24"/>
      <c r="N7" s="24"/>
    </row>
    <row r="8" customFormat="false" ht="15" hidden="false" customHeight="true" outlineLevel="0" collapsed="false">
      <c r="A8" s="7" t="s">
        <v>423</v>
      </c>
      <c r="B8" s="5" t="n">
        <v>46323</v>
      </c>
      <c r="C8" s="7" t="s">
        <v>184</v>
      </c>
      <c r="D8" s="7" t="str">
        <f aca="false">IFERROR(INDEX(Participants!$B$4:$B$15,MATCH(C8,Participants!$A$4:$A$15,0)),"NOT FOUND")</f>
        <v>Daniel Whitfield</v>
      </c>
      <c r="E8" s="7" t="str">
        <f aca="false">IFERROR(INDEX(Participants!$D$4:$D$15,MATCH(C8,Participants!$A$4:$A$15,0)),"NOT FOUND")</f>
        <v>Self-managed</v>
      </c>
      <c r="F8" s="7" t="s">
        <v>369</v>
      </c>
      <c r="G8" s="7" t="str">
        <f aca="false">IFERROR(INDEX(Price_Table!$B$4:$B$40,MATCH(F8,Price_Table!$A$4:$A$40,0)),"NOT FOUND")</f>
        <v>Daily living support - weekday daytime</v>
      </c>
      <c r="H8" s="20" t="n">
        <v>4</v>
      </c>
      <c r="I8" s="7" t="str">
        <f aca="false">IFERROR(INDEX(Price_Table!$E$4:$E$40,MATCH(F8,Price_Table!$A$4:$A$40,0)),"")</f>
        <v>hour</v>
      </c>
      <c r="J8" s="26" t="n">
        <v>68</v>
      </c>
      <c r="K8" s="26" t="n">
        <f aca="false">IFERROR(INDEX(Price_Table!$F$4:$F$40,MATCH(F8,Price_Table!$A$4:$A$40,0)),"")</f>
        <v>60</v>
      </c>
      <c r="L8" s="26" t="n">
        <f aca="false">IF(AND(ISNUMBER(H8),ISNUMBER(J8)),H8*J8,"")</f>
        <v>272</v>
      </c>
      <c r="M8" s="24"/>
      <c r="N8" s="24"/>
    </row>
    <row r="9" customFormat="false" ht="15" hidden="false" customHeight="true" outlineLevel="0" collapsed="false">
      <c r="A9" s="7" t="s">
        <v>424</v>
      </c>
      <c r="B9" s="5" t="n">
        <v>46323</v>
      </c>
      <c r="C9" s="7" t="s">
        <v>220</v>
      </c>
      <c r="D9" s="7" t="str">
        <f aca="false">IFERROR(INDEX(Participants!$B$4:$B$15,MATCH(C9,Participants!$A$4:$A$15,0)),"NOT FOUND")</f>
        <v>Ravi Patel</v>
      </c>
      <c r="E9" s="7" t="str">
        <f aca="false">IFERROR(INDEX(Participants!$D$4:$D$15,MATCH(C9,Participants!$A$4:$A$15,0)),"NOT FOUND")</f>
        <v>Plan-managed</v>
      </c>
      <c r="F9" s="7" t="s">
        <v>398</v>
      </c>
      <c r="G9" s="7" t="str">
        <f aca="false">IFERROR(INDEX(Price_Table!$B$4:$B$40,MATCH(F9,Price_Table!$A$4:$A$40,0)),"NOT FOUND")</f>
        <v>Physiotherapy - standard session</v>
      </c>
      <c r="H9" s="20" t="n">
        <v>1</v>
      </c>
      <c r="I9" s="7" t="str">
        <f aca="false">IFERROR(INDEX(Price_Table!$E$4:$E$40,MATCH(F9,Price_Table!$A$4:$A$40,0)),"")</f>
        <v>hour</v>
      </c>
      <c r="J9" s="26" t="n">
        <v>175</v>
      </c>
      <c r="K9" s="26" t="n">
        <f aca="false">IFERROR(INDEX(Price_Table!$F$4:$F$40,MATCH(F9,Price_Table!$A$4:$A$40,0)),"")</f>
        <v>175</v>
      </c>
      <c r="L9" s="26" t="n">
        <f aca="false">IF(AND(ISNUMBER(H9),ISNUMBER(J9)),H9*J9,"")</f>
        <v>175</v>
      </c>
      <c r="M9" s="24"/>
      <c r="N9" s="24"/>
    </row>
    <row r="10" customFormat="false" ht="15" hidden="false" customHeight="true" outlineLevel="0" collapsed="false">
      <c r="A10" s="7" t="s">
        <v>425</v>
      </c>
      <c r="B10" s="5" t="n">
        <v>46323</v>
      </c>
      <c r="C10" s="7" t="s">
        <v>203</v>
      </c>
      <c r="D10" s="7" t="str">
        <f aca="false">IFERROR(INDEX(Participants!$B$4:$B$15,MATCH(C10,Participants!$A$4:$A$15,0)),"NOT FOUND")</f>
        <v>Lucia Fernandez</v>
      </c>
      <c r="E10" s="7" t="str">
        <f aca="false">IFERROR(INDEX(Participants!$D$4:$D$15,MATCH(C10,Participants!$A$4:$A$15,0)),"NOT FOUND")</f>
        <v>Plan-managed</v>
      </c>
      <c r="F10" s="7" t="s">
        <v>400</v>
      </c>
      <c r="G10" s="7" t="str">
        <f aca="false">IFERROR(INDEX(Price_Table!$B$4:$B$40,MATCH(F10,Price_Table!$A$4:$A$40,0)),"NOT FOUND")</f>
        <v>Psychology - standard session</v>
      </c>
      <c r="H10" s="20" t="n">
        <v>1</v>
      </c>
      <c r="I10" s="7" t="str">
        <f aca="false">IFERROR(INDEX(Price_Table!$E$4:$E$40,MATCH(F10,Price_Table!$A$4:$A$40,0)),"")</f>
        <v>hour</v>
      </c>
      <c r="J10" s="26" t="n">
        <v>220</v>
      </c>
      <c r="K10" s="26" t="n">
        <f aca="false">IFERROR(INDEX(Price_Table!$F$4:$F$40,MATCH(F10,Price_Table!$A$4:$A$40,0)),"")</f>
        <v>220</v>
      </c>
      <c r="L10" s="26" t="n">
        <f aca="false">IF(AND(ISNUMBER(H10),ISNUMBER(J10)),H10*J10,"")</f>
        <v>220</v>
      </c>
      <c r="M10" s="24"/>
      <c r="N10" s="24"/>
    </row>
    <row r="11" customFormat="false" ht="15" hidden="false" customHeight="true" outlineLevel="0" collapsed="false">
      <c r="A11" s="7" t="s">
        <v>426</v>
      </c>
      <c r="B11" s="5" t="n">
        <v>46324</v>
      </c>
      <c r="C11" s="7" t="s">
        <v>194</v>
      </c>
      <c r="D11" s="7" t="str">
        <f aca="false">IFERROR(INDEX(Participants!$B$4:$B$15,MATCH(C11,Participants!$A$4:$A$15,0)),"NOT FOUND")</f>
        <v>Tom Nguyen</v>
      </c>
      <c r="E11" s="7" t="str">
        <f aca="false">IFERROR(INDEX(Participants!$D$4:$D$15,MATCH(C11,Participants!$A$4:$A$15,0)),"NOT FOUND")</f>
        <v>Plan-managed</v>
      </c>
      <c r="F11" s="7" t="s">
        <v>395</v>
      </c>
      <c r="G11" s="7" t="str">
        <f aca="false">IFERROR(INDEX(Price_Table!$B$4:$B$40,MATCH(F11,Price_Table!$A$4:$A$40,0)),"NOT FOUND")</f>
        <v>Occupational therapy - standard session</v>
      </c>
      <c r="H11" s="20" t="n">
        <v>1</v>
      </c>
      <c r="I11" s="7" t="str">
        <f aca="false">IFERROR(INDEX(Price_Table!$E$4:$E$40,MATCH(F11,Price_Table!$A$4:$A$40,0)),"")</f>
        <v>hour</v>
      </c>
      <c r="J11" s="26" t="n">
        <v>205</v>
      </c>
      <c r="K11" s="26" t="n">
        <f aca="false">IFERROR(INDEX(Price_Table!$F$4:$F$40,MATCH(F11,Price_Table!$A$4:$A$40,0)),"")</f>
        <v>190</v>
      </c>
      <c r="L11" s="26" t="n">
        <f aca="false">IF(AND(ISNUMBER(H11),ISNUMBER(J11)),H11*J11,"")</f>
        <v>205</v>
      </c>
      <c r="M11" s="24"/>
      <c r="N11" s="24"/>
    </row>
    <row r="12" customFormat="false" ht="15" hidden="false" customHeight="true" outlineLevel="0" collapsed="false">
      <c r="A12" s="7" t="s">
        <v>427</v>
      </c>
      <c r="B12" s="5" t="n">
        <v>46324</v>
      </c>
      <c r="C12" s="7" t="s">
        <v>208</v>
      </c>
      <c r="D12" s="7" t="str">
        <f aca="false">IFERROR(INDEX(Participants!$B$4:$B$15,MATCH(C12,Participants!$A$4:$A$15,0)),"NOT FOUND")</f>
        <v>Ben Taylor</v>
      </c>
      <c r="E12" s="7" t="str">
        <f aca="false">IFERROR(INDEX(Participants!$D$4:$D$15,MATCH(C12,Participants!$A$4:$A$15,0)),"NOT FOUND")</f>
        <v>Plan-managed</v>
      </c>
      <c r="F12" s="7" t="s">
        <v>381</v>
      </c>
      <c r="G12" s="7" t="str">
        <f aca="false">IFERROR(INDEX(Price_Table!$B$4:$B$40,MATCH(F12,Price_Table!$A$4:$A$40,0)),"NOT FOUND")</f>
        <v>Community access - weekday daytime</v>
      </c>
      <c r="H12" s="20" t="n">
        <v>4</v>
      </c>
      <c r="I12" s="7" t="str">
        <f aca="false">IFERROR(INDEX(Price_Table!$E$4:$E$40,MATCH(F12,Price_Table!$A$4:$A$40,0)),"")</f>
        <v>hour</v>
      </c>
      <c r="J12" s="26" t="n">
        <v>62</v>
      </c>
      <c r="K12" s="26" t="n">
        <f aca="false">IFERROR(INDEX(Price_Table!$F$4:$F$40,MATCH(F12,Price_Table!$A$4:$A$40,0)),"")</f>
        <v>62</v>
      </c>
      <c r="L12" s="26" t="n">
        <f aca="false">IF(AND(ISNUMBER(H12),ISNUMBER(J12)),H12*J12,"")</f>
        <v>248</v>
      </c>
      <c r="M12" s="24"/>
      <c r="N12" s="24"/>
    </row>
    <row r="13" customFormat="false" ht="15" hidden="false" customHeight="true" outlineLevel="0" collapsed="false">
      <c r="A13" s="7" t="s">
        <v>428</v>
      </c>
      <c r="B13" s="5" t="n">
        <v>46324</v>
      </c>
      <c r="C13" s="7" t="s">
        <v>189</v>
      </c>
      <c r="D13" s="7" t="str">
        <f aca="false">IFERROR(INDEX(Participants!$B$4:$B$15,MATCH(C13,Participants!$A$4:$A$15,0)),"NOT FOUND")</f>
        <v>Aisha Rahman</v>
      </c>
      <c r="E13" s="7" t="str">
        <f aca="false">IFERROR(INDEX(Participants!$D$4:$D$15,MATCH(C13,Participants!$A$4:$A$15,0)),"NOT FOUND")</f>
        <v>NDIA-managed</v>
      </c>
      <c r="F13" s="7" t="s">
        <v>386</v>
      </c>
      <c r="G13" s="7" t="str">
        <f aca="false">IFERROR(INDEX(Price_Table!$B$4:$B$40,MATCH(F13,Price_Table!$A$4:$A$40,0)),"NOT FOUND")</f>
        <v>Support coordination - standard</v>
      </c>
      <c r="H13" s="20" t="n">
        <v>2</v>
      </c>
      <c r="I13" s="7" t="str">
        <f aca="false">IFERROR(INDEX(Price_Table!$E$4:$E$40,MATCH(F13,Price_Table!$A$4:$A$40,0)),"")</f>
        <v>hour</v>
      </c>
      <c r="J13" s="26" t="n">
        <v>100</v>
      </c>
      <c r="K13" s="26" t="n">
        <f aca="false">IFERROR(INDEX(Price_Table!$F$4:$F$40,MATCH(F13,Price_Table!$A$4:$A$40,0)),"")</f>
        <v>100</v>
      </c>
      <c r="L13" s="26" t="n">
        <f aca="false">IF(AND(ISNUMBER(H13),ISNUMBER(J13)),H13*J13,"")</f>
        <v>200</v>
      </c>
      <c r="M13" s="24"/>
      <c r="N13" s="24"/>
    </row>
    <row r="14" customFormat="false" ht="15" hidden="false" customHeight="true" outlineLevel="0" collapsed="false">
      <c r="A14" s="7" t="s">
        <v>429</v>
      </c>
      <c r="B14" s="5" t="n">
        <v>46325</v>
      </c>
      <c r="C14" s="7" t="s">
        <v>218</v>
      </c>
      <c r="D14" s="7" t="str">
        <f aca="false">IFERROR(INDEX(Participants!$B$4:$B$15,MATCH(C14,Participants!$A$4:$A$15,0)),"NOT FOUND")</f>
        <v>Hannah Kowalski</v>
      </c>
      <c r="E14" s="7" t="str">
        <f aca="false">IFERROR(INDEX(Participants!$D$4:$D$15,MATCH(C14,Participants!$A$4:$A$15,0)),"NOT FOUND")</f>
        <v>Self-managed</v>
      </c>
      <c r="F14" s="7" t="s">
        <v>369</v>
      </c>
      <c r="G14" s="7" t="str">
        <f aca="false">IFERROR(INDEX(Price_Table!$B$4:$B$40,MATCH(F14,Price_Table!$A$4:$A$40,0)),"NOT FOUND")</f>
        <v>Daily living support - weekday daytime</v>
      </c>
      <c r="H14" s="20" t="n">
        <v>40</v>
      </c>
      <c r="I14" s="7" t="str">
        <f aca="false">IFERROR(INDEX(Price_Table!$E$4:$E$40,MATCH(F14,Price_Table!$A$4:$A$40,0)),"")</f>
        <v>hour</v>
      </c>
      <c r="J14" s="26" t="n">
        <v>60</v>
      </c>
      <c r="K14" s="26" t="n">
        <f aca="false">IFERROR(INDEX(Price_Table!$F$4:$F$40,MATCH(F14,Price_Table!$A$4:$A$40,0)),"")</f>
        <v>60</v>
      </c>
      <c r="L14" s="26" t="n">
        <f aca="false">IF(AND(ISNUMBER(H14),ISNUMBER(J14)),H14*J14,"")</f>
        <v>2400</v>
      </c>
      <c r="M14" s="24"/>
      <c r="N14" s="24"/>
    </row>
    <row r="15" customFormat="false" ht="15" hidden="false" customHeight="true" outlineLevel="0" collapsed="false">
      <c r="A15" s="7" t="s">
        <v>430</v>
      </c>
      <c r="B15" s="5" t="n">
        <v>46325</v>
      </c>
      <c r="C15" s="7" t="s">
        <v>200</v>
      </c>
      <c r="D15" s="7" t="str">
        <f aca="false">IFERROR(INDEX(Participants!$B$4:$B$15,MATCH(C15,Participants!$A$4:$A$15,0)),"NOT FOUND")</f>
        <v>Jack O'Connor</v>
      </c>
      <c r="E15" s="7" t="str">
        <f aca="false">IFERROR(INDEX(Participants!$D$4:$D$15,MATCH(C15,Participants!$A$4:$A$15,0)),"NOT FOUND")</f>
        <v>NDIA-managed</v>
      </c>
      <c r="F15" s="7" t="s">
        <v>373</v>
      </c>
      <c r="G15" s="7" t="str">
        <f aca="false">IFERROR(INDEX(Price_Table!$B$4:$B$40,MATCH(F15,Price_Table!$A$4:$A$40,0)),"NOT FOUND")</f>
        <v>Daily living support - weekday evening</v>
      </c>
      <c r="H15" s="20" t="n">
        <v>3</v>
      </c>
      <c r="I15" s="7" t="str">
        <f aca="false">IFERROR(INDEX(Price_Table!$E$4:$E$40,MATCH(F15,Price_Table!$A$4:$A$40,0)),"")</f>
        <v>hour</v>
      </c>
      <c r="J15" s="26" t="n">
        <v>66</v>
      </c>
      <c r="K15" s="26" t="n">
        <f aca="false">IFERROR(INDEX(Price_Table!$F$4:$F$40,MATCH(F15,Price_Table!$A$4:$A$40,0)),"")</f>
        <v>66</v>
      </c>
      <c r="L15" s="26" t="n">
        <f aca="false">IF(AND(ISNUMBER(H15),ISNUMBER(J15)),H15*J15,"")</f>
        <v>198</v>
      </c>
      <c r="M15" s="24"/>
      <c r="N15" s="24"/>
    </row>
    <row r="16" customFormat="false" ht="15" hidden="false" customHeight="true" outlineLevel="0" collapsed="false">
      <c r="A16" s="7" t="s">
        <v>431</v>
      </c>
      <c r="B16" s="5" t="n">
        <v>46325</v>
      </c>
      <c r="C16" s="7" t="s">
        <v>220</v>
      </c>
      <c r="D16" s="7" t="str">
        <f aca="false">IFERROR(INDEX(Participants!$B$4:$B$15,MATCH(C16,Participants!$A$4:$A$15,0)),"NOT FOUND")</f>
        <v>Ravi Patel</v>
      </c>
      <c r="E16" s="7" t="str">
        <f aca="false">IFERROR(INDEX(Participants!$D$4:$D$15,MATCH(C16,Participants!$A$4:$A$15,0)),"NOT FOUND")</f>
        <v>Plan-managed</v>
      </c>
      <c r="F16" s="7" t="s">
        <v>369</v>
      </c>
      <c r="G16" s="7" t="str">
        <f aca="false">IFERROR(INDEX(Price_Table!$B$4:$B$40,MATCH(F16,Price_Table!$A$4:$A$40,0)),"NOT FOUND")</f>
        <v>Daily living support - weekday daytime</v>
      </c>
      <c r="H16" s="20" t="n">
        <v>4</v>
      </c>
      <c r="I16" s="7" t="str">
        <f aca="false">IFERROR(INDEX(Price_Table!$E$4:$E$40,MATCH(F16,Price_Table!$A$4:$A$40,0)),"")</f>
        <v>hour</v>
      </c>
      <c r="J16" s="26" t="n">
        <v>60</v>
      </c>
      <c r="K16" s="26" t="n">
        <f aca="false">IFERROR(INDEX(Price_Table!$F$4:$F$40,MATCH(F16,Price_Table!$A$4:$A$40,0)),"")</f>
        <v>60</v>
      </c>
      <c r="L16" s="26" t="n">
        <f aca="false">IF(AND(ISNUMBER(H16),ISNUMBER(J16)),H16*J16,"")</f>
        <v>240</v>
      </c>
      <c r="M16" s="24"/>
      <c r="N16" s="24"/>
    </row>
    <row r="17" customFormat="false" ht="15" hidden="false" customHeight="true" outlineLevel="0" collapsed="false">
      <c r="A17" s="7" t="s">
        <v>432</v>
      </c>
      <c r="B17" s="5" t="n">
        <v>46326</v>
      </c>
      <c r="C17" s="7" t="s">
        <v>177</v>
      </c>
      <c r="D17" s="7" t="str">
        <f aca="false">IFERROR(INDEX(Participants!$B$4:$B$15,MATCH(C17,Participants!$A$4:$A$15,0)),"NOT FOUND")</f>
        <v>Marisol Reyes</v>
      </c>
      <c r="E17" s="7" t="str">
        <f aca="false">IFERROR(INDEX(Participants!$D$4:$D$15,MATCH(C17,Participants!$A$4:$A$15,0)),"NOT FOUND")</f>
        <v>Plan-managed</v>
      </c>
      <c r="F17" s="7" t="s">
        <v>384</v>
      </c>
      <c r="G17" s="7" t="str">
        <f aca="false">IFERROR(INDEX(Price_Table!$B$4:$B$40,MATCH(F17,Price_Table!$A$4:$A$40,0)),"NOT FOUND")</f>
        <v>Community access - Saturday</v>
      </c>
      <c r="H17" s="20" t="n">
        <v>4</v>
      </c>
      <c r="I17" s="7" t="str">
        <f aca="false">IFERROR(INDEX(Price_Table!$E$4:$E$40,MATCH(F17,Price_Table!$A$4:$A$40,0)),"")</f>
        <v>hour</v>
      </c>
      <c r="J17" s="26" t="n">
        <v>87</v>
      </c>
      <c r="K17" s="26" t="n">
        <f aca="false">IFERROR(INDEX(Price_Table!$F$4:$F$40,MATCH(F17,Price_Table!$A$4:$A$40,0)),"")</f>
        <v>87</v>
      </c>
      <c r="L17" s="26" t="n">
        <f aca="false">IF(AND(ISNUMBER(H17),ISNUMBER(J17)),H17*J17,"")</f>
        <v>348</v>
      </c>
      <c r="M17" s="24"/>
      <c r="N17" s="24"/>
    </row>
    <row r="18" customFormat="false" ht="15" hidden="false" customHeight="true" outlineLevel="0" collapsed="false">
      <c r="A18" s="7" t="s">
        <v>433</v>
      </c>
      <c r="B18" s="5" t="n">
        <v>46326</v>
      </c>
      <c r="C18" s="7" t="s">
        <v>434</v>
      </c>
      <c r="D18" s="7" t="str">
        <f aca="false">IFERROR(INDEX(Participants!$B$4:$B$15,MATCH(C18,Participants!$A$4:$A$15,0)),"NOT FOUND")</f>
        <v>NOT FOUND</v>
      </c>
      <c r="E18" s="7" t="str">
        <f aca="false">IFERROR(INDEX(Participants!$D$4:$D$15,MATCH(C18,Participants!$A$4:$A$15,0)),"NOT FOUND")</f>
        <v>NOT FOUND</v>
      </c>
      <c r="F18" s="7" t="s">
        <v>375</v>
      </c>
      <c r="G18" s="7" t="str">
        <f aca="false">IFERROR(INDEX(Price_Table!$B$4:$B$40,MATCH(F18,Price_Table!$A$4:$A$40,0)),"NOT FOUND")</f>
        <v>Daily living support - Saturday</v>
      </c>
      <c r="H18" s="20" t="n">
        <v>4</v>
      </c>
      <c r="I18" s="7" t="str">
        <f aca="false">IFERROR(INDEX(Price_Table!$E$4:$E$40,MATCH(F18,Price_Table!$A$4:$A$40,0)),"")</f>
        <v>hour</v>
      </c>
      <c r="J18" s="26" t="n">
        <v>84</v>
      </c>
      <c r="K18" s="26" t="n">
        <f aca="false">IFERROR(INDEX(Price_Table!$F$4:$F$40,MATCH(F18,Price_Table!$A$4:$A$40,0)),"")</f>
        <v>84</v>
      </c>
      <c r="L18" s="26" t="n">
        <f aca="false">IF(AND(ISNUMBER(H18),ISNUMBER(J18)),H18*J18,"")</f>
        <v>336</v>
      </c>
      <c r="M18" s="24"/>
      <c r="N18" s="24"/>
    </row>
    <row r="19" customFormat="false" ht="15" hidden="false" customHeight="true" outlineLevel="0" collapsed="false">
      <c r="A19" s="7" t="s">
        <v>435</v>
      </c>
      <c r="B19" s="5" t="n">
        <v>46327</v>
      </c>
      <c r="C19" s="7" t="s">
        <v>220</v>
      </c>
      <c r="D19" s="7" t="str">
        <f aca="false">IFERROR(INDEX(Participants!$B$4:$B$15,MATCH(C19,Participants!$A$4:$A$15,0)),"NOT FOUND")</f>
        <v>Ravi Patel</v>
      </c>
      <c r="E19" s="7" t="str">
        <f aca="false">IFERROR(INDEX(Participants!$D$4:$D$15,MATCH(C19,Participants!$A$4:$A$15,0)),"NOT FOUND")</f>
        <v>Plan-managed</v>
      </c>
      <c r="F19" s="7" t="s">
        <v>369</v>
      </c>
      <c r="G19" s="7" t="str">
        <f aca="false">IFERROR(INDEX(Price_Table!$B$4:$B$40,MATCH(F19,Price_Table!$A$4:$A$40,0)),"NOT FOUND")</f>
        <v>Daily living support - weekday daytime</v>
      </c>
      <c r="H19" s="20" t="n">
        <v>4</v>
      </c>
      <c r="I19" s="7" t="str">
        <f aca="false">IFERROR(INDEX(Price_Table!$E$4:$E$40,MATCH(F19,Price_Table!$A$4:$A$40,0)),"")</f>
        <v>hour</v>
      </c>
      <c r="J19" s="26" t="n">
        <v>60</v>
      </c>
      <c r="K19" s="26" t="n">
        <f aca="false">IFERROR(INDEX(Price_Table!$F$4:$F$40,MATCH(F19,Price_Table!$A$4:$A$40,0)),"")</f>
        <v>60</v>
      </c>
      <c r="L19" s="26" t="n">
        <f aca="false">IF(AND(ISNUMBER(H19),ISNUMBER(J19)),H19*J19,"")</f>
        <v>240</v>
      </c>
      <c r="M19" s="24"/>
      <c r="N19" s="24"/>
    </row>
    <row r="20" customFormat="false" ht="15" hidden="false" customHeight="true" outlineLevel="0" collapsed="false">
      <c r="A20" s="7" t="s">
        <v>436</v>
      </c>
      <c r="B20" s="5" t="n">
        <v>46325</v>
      </c>
      <c r="C20" s="7" t="s">
        <v>212</v>
      </c>
      <c r="D20" s="7" t="str">
        <f aca="false">IFERROR(INDEX(Participants!$B$4:$B$15,MATCH(C20,Participants!$A$4:$A$15,0)),"NOT FOUND")</f>
        <v>Grace Mitchell</v>
      </c>
      <c r="E20" s="7" t="str">
        <f aca="false">IFERROR(INDEX(Participants!$D$4:$D$15,MATCH(C20,Participants!$A$4:$A$15,0)),"NOT FOUND")</f>
        <v>To be confirmed</v>
      </c>
      <c r="F20" s="7" t="s">
        <v>369</v>
      </c>
      <c r="G20" s="7" t="str">
        <f aca="false">IFERROR(INDEX(Price_Table!$B$4:$B$40,MATCH(F20,Price_Table!$A$4:$A$40,0)),"NOT FOUND")</f>
        <v>Daily living support - weekday daytime</v>
      </c>
      <c r="H20" s="20" t="n">
        <v>2</v>
      </c>
      <c r="I20" s="7" t="str">
        <f aca="false">IFERROR(INDEX(Price_Table!$E$4:$E$40,MATCH(F20,Price_Table!$A$4:$A$40,0)),"")</f>
        <v>hour</v>
      </c>
      <c r="J20" s="26" t="n">
        <v>60</v>
      </c>
      <c r="K20" s="26" t="n">
        <f aca="false">IFERROR(INDEX(Price_Table!$F$4:$F$40,MATCH(F20,Price_Table!$A$4:$A$40,0)),"")</f>
        <v>60</v>
      </c>
      <c r="L20" s="26" t="n">
        <f aca="false">IF(AND(ISNUMBER(H20),ISNUMBER(J20)),H20*J20,"")</f>
        <v>120</v>
      </c>
      <c r="M20" s="24"/>
      <c r="N20" s="24"/>
    </row>
    <row r="21" customFormat="false" ht="15" hidden="false" customHeight="true" outlineLevel="0" collapsed="false">
      <c r="A21" s="7" t="s">
        <v>437</v>
      </c>
      <c r="B21" s="5" t="n">
        <v>46322</v>
      </c>
      <c r="C21" s="7" t="s">
        <v>216</v>
      </c>
      <c r="D21" s="7" t="str">
        <f aca="false">IFERROR(INDEX(Participants!$B$4:$B$15,MATCH(C21,Participants!$A$4:$A$15,0)),"NOT FOUND")</f>
        <v>Samuel Osei</v>
      </c>
      <c r="E21" s="7" t="str">
        <f aca="false">IFERROR(INDEX(Participants!$D$4:$D$15,MATCH(C21,Participants!$A$4:$A$15,0)),"NOT FOUND")</f>
        <v>NDIA-managed</v>
      </c>
      <c r="F21" s="7" t="s">
        <v>386</v>
      </c>
      <c r="G21" s="7" t="str">
        <f aca="false">IFERROR(INDEX(Price_Table!$B$4:$B$40,MATCH(F21,Price_Table!$A$4:$A$40,0)),"NOT FOUND")</f>
        <v>Support coordination - standard</v>
      </c>
      <c r="H21" s="20" t="n">
        <v>1.5</v>
      </c>
      <c r="I21" s="7" t="str">
        <f aca="false">IFERROR(INDEX(Price_Table!$E$4:$E$40,MATCH(F21,Price_Table!$A$4:$A$40,0)),"")</f>
        <v>hour</v>
      </c>
      <c r="J21" s="26" t="n">
        <v>100</v>
      </c>
      <c r="K21" s="26" t="n">
        <f aca="false">IFERROR(INDEX(Price_Table!$F$4:$F$40,MATCH(F21,Price_Table!$A$4:$A$40,0)),"")</f>
        <v>100</v>
      </c>
      <c r="L21" s="26" t="n">
        <f aca="false">IF(AND(ISNUMBER(H21),ISNUMBER(J21)),H21*J21,"")</f>
        <v>150</v>
      </c>
      <c r="M21" s="24"/>
      <c r="N21" s="24"/>
    </row>
    <row r="22" customFormat="false" ht="15" hidden="false" customHeight="true" outlineLevel="0" collapsed="false">
      <c r="A22" s="7" t="s">
        <v>438</v>
      </c>
      <c r="B22" s="5" t="n">
        <v>46323</v>
      </c>
      <c r="C22" s="7" t="s">
        <v>184</v>
      </c>
      <c r="D22" s="7" t="str">
        <f aca="false">IFERROR(INDEX(Participants!$B$4:$B$15,MATCH(C22,Participants!$A$4:$A$15,0)),"NOT FOUND")</f>
        <v>Daniel Whitfield</v>
      </c>
      <c r="E22" s="7" t="str">
        <f aca="false">IFERROR(INDEX(Participants!$D$4:$D$15,MATCH(C22,Participants!$A$4:$A$15,0)),"NOT FOUND")</f>
        <v>Self-managed</v>
      </c>
      <c r="F22" s="7" t="s">
        <v>439</v>
      </c>
      <c r="G22" s="7" t="str">
        <f aca="false">IFERROR(INDEX(Price_Table!$B$4:$B$40,MATCH(F22,Price_Table!$A$4:$A$40,0)),"NOT FOUND")</f>
        <v>NOT FOUND</v>
      </c>
      <c r="H22" s="20" t="n">
        <v>2</v>
      </c>
      <c r="I22" s="7" t="str">
        <f aca="false">IFERROR(INDEX(Price_Table!$E$4:$E$40,MATCH(F22,Price_Table!$A$4:$A$40,0)),"")</f>
        <v/>
      </c>
      <c r="J22" s="26" t="n">
        <v>60</v>
      </c>
      <c r="K22" s="26" t="str">
        <f aca="false">IFERROR(INDEX(Price_Table!$F$4:$F$40,MATCH(F22,Price_Table!$A$4:$A$40,0)),"")</f>
        <v/>
      </c>
      <c r="L22" s="26" t="n">
        <f aca="false">IF(AND(ISNUMBER(H22),ISNUMBER(J22)),H22*J22,"")</f>
        <v>120</v>
      </c>
      <c r="M22" s="24"/>
      <c r="N22" s="24"/>
    </row>
    <row r="23" customFormat="false" ht="15" hidden="false" customHeight="true" outlineLevel="0" collapsed="false">
      <c r="A23" s="7" t="s">
        <v>440</v>
      </c>
      <c r="B23" s="5" t="n">
        <v>46324</v>
      </c>
      <c r="C23" s="7" t="s">
        <v>197</v>
      </c>
      <c r="D23" s="7" t="str">
        <f aca="false">IFERROR(INDEX(Participants!$B$4:$B$15,MATCH(C23,Participants!$A$4:$A$15,0)),"NOT FOUND")</f>
        <v>Priya Nair</v>
      </c>
      <c r="E23" s="7" t="str">
        <f aca="false">IFERROR(INDEX(Participants!$D$4:$D$15,MATCH(C23,Participants!$A$4:$A$15,0)),"NOT FOUND")</f>
        <v>Self-managed</v>
      </c>
      <c r="F23" s="7" t="s">
        <v>381</v>
      </c>
      <c r="G23" s="7" t="str">
        <f aca="false">IFERROR(INDEX(Price_Table!$B$4:$B$40,MATCH(F23,Price_Table!$A$4:$A$40,0)),"NOT FOUND")</f>
        <v>Community access - weekday daytime</v>
      </c>
      <c r="H23" s="20" t="n">
        <v>3</v>
      </c>
      <c r="I23" s="7" t="str">
        <f aca="false">IFERROR(INDEX(Price_Table!$E$4:$E$40,MATCH(F23,Price_Table!$A$4:$A$40,0)),"")</f>
        <v>hour</v>
      </c>
      <c r="J23" s="26" t="n">
        <v>62</v>
      </c>
      <c r="K23" s="26" t="n">
        <f aca="false">IFERROR(INDEX(Price_Table!$F$4:$F$40,MATCH(F23,Price_Table!$A$4:$A$40,0)),"")</f>
        <v>62</v>
      </c>
      <c r="L23" s="26" t="n">
        <f aca="false">IF(AND(ISNUMBER(H23),ISNUMBER(J23)),H23*J23,"")</f>
        <v>186</v>
      </c>
      <c r="M23" s="24"/>
      <c r="N23" s="24"/>
    </row>
    <row r="25" customFormat="false" ht="15" hidden="false" customHeight="true" outlineLevel="0" collapsed="false">
      <c r="A25" s="4" t="s">
        <v>441</v>
      </c>
      <c r="L25" s="27" t="n">
        <f aca="false">SUM(L4:L23)</f>
        <v>6386</v>
      </c>
    </row>
    <row r="26" customFormat="false" ht="23.25" hidden="false" customHeight="true" outlineLevel="0" collapsed="false">
      <c r="A26" s="4" t="s">
        <v>442</v>
      </c>
      <c r="L26" s="28" t="n">
        <f aca="false">COUNTA(A4:A23)</f>
        <v>20</v>
      </c>
    </row>
  </sheetData>
  <dataValidations count="1">
    <dataValidation allowBlank="true" errorStyle="stop" operator="between" showDropDown="false" showErrorMessage="false" showInputMessage="false" sqref="M4:M23" type="list">
      <formula1>"OK,Flag,Ask,Escalate"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8B2AC"/>
    <pageSetUpPr fitToPage="false"/>
  </sheetPr>
  <dimension ref="A1:I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27"/>
    <col collapsed="false" customWidth="true" hidden="false" outlineLevel="0" max="3" min="3" style="1" width="42"/>
    <col collapsed="false" customWidth="true" hidden="false" outlineLevel="0" max="4" min="4" style="1" width="28"/>
    <col collapsed="false" customWidth="true" hidden="false" outlineLevel="0" max="5" min="5" style="1" width="42"/>
    <col collapsed="false" customWidth="true" hidden="false" outlineLevel="0" max="6" min="6" style="1" width="15"/>
    <col collapsed="false" customWidth="true" hidden="false" outlineLevel="0" max="7" min="7" style="1" width="18"/>
    <col collapsed="false" customWidth="true" hidden="false" outlineLevel="0" max="8" min="8" style="1" width="38"/>
    <col collapsed="false" customWidth="true" hidden="false" outlineLevel="0" max="9" min="9" style="1" width="10"/>
  </cols>
  <sheetData>
    <row r="1" customFormat="false" ht="17.25" hidden="false" customHeight="true" outlineLevel="0" collapsed="false">
      <c r="A1" s="14" t="s">
        <v>443</v>
      </c>
    </row>
    <row r="2" customFormat="false" ht="15" hidden="false" customHeight="true" outlineLevel="0" collapsed="false">
      <c r="A2" s="15" t="s">
        <v>444</v>
      </c>
    </row>
    <row r="3" customFormat="false" ht="33.75" hidden="false" customHeight="true" outlineLevel="0" collapsed="false">
      <c r="A3" s="16" t="s">
        <v>168</v>
      </c>
      <c r="B3" s="16" t="s">
        <v>445</v>
      </c>
      <c r="C3" s="16" t="s">
        <v>446</v>
      </c>
      <c r="D3" s="16" t="s">
        <v>447</v>
      </c>
      <c r="E3" s="16" t="s">
        <v>448</v>
      </c>
      <c r="F3" s="16" t="s">
        <v>449</v>
      </c>
      <c r="G3" s="16" t="s">
        <v>450</v>
      </c>
      <c r="H3" s="16" t="s">
        <v>451</v>
      </c>
      <c r="I3" s="16" t="s">
        <v>452</v>
      </c>
    </row>
    <row r="4" customFormat="false" ht="23.25" hidden="false" customHeight="true" outlineLevel="0" collapsed="false">
      <c r="A4" s="7" t="s">
        <v>453</v>
      </c>
      <c r="B4" s="7" t="s">
        <v>454</v>
      </c>
      <c r="C4" s="7" t="s">
        <v>455</v>
      </c>
      <c r="D4" s="7" t="s">
        <v>456</v>
      </c>
      <c r="E4" s="7" t="s">
        <v>457</v>
      </c>
      <c r="F4" s="24"/>
      <c r="G4" s="24"/>
      <c r="H4" s="24"/>
      <c r="I4" s="24"/>
    </row>
    <row r="5" customFormat="false" ht="23.25" hidden="false" customHeight="true" outlineLevel="0" collapsed="false">
      <c r="A5" s="7" t="s">
        <v>458</v>
      </c>
      <c r="B5" s="7" t="s">
        <v>459</v>
      </c>
      <c r="C5" s="7" t="s">
        <v>460</v>
      </c>
      <c r="D5" s="7" t="s">
        <v>461</v>
      </c>
      <c r="E5" s="7" t="s">
        <v>462</v>
      </c>
      <c r="F5" s="24"/>
      <c r="G5" s="24"/>
      <c r="H5" s="24"/>
      <c r="I5" s="24"/>
    </row>
    <row r="6" customFormat="false" ht="23.25" hidden="false" customHeight="true" outlineLevel="0" collapsed="false">
      <c r="A6" s="7" t="s">
        <v>463</v>
      </c>
      <c r="B6" s="7" t="s">
        <v>464</v>
      </c>
      <c r="C6" s="7" t="s">
        <v>465</v>
      </c>
      <c r="D6" s="7" t="s">
        <v>466</v>
      </c>
      <c r="E6" s="7" t="s">
        <v>467</v>
      </c>
      <c r="F6" s="24"/>
      <c r="G6" s="24"/>
      <c r="H6" s="24"/>
      <c r="I6" s="24"/>
    </row>
    <row r="7" customFormat="false" ht="23.25" hidden="false" customHeight="true" outlineLevel="0" collapsed="false">
      <c r="A7" s="7" t="s">
        <v>468</v>
      </c>
      <c r="B7" s="7" t="s">
        <v>469</v>
      </c>
      <c r="C7" s="7" t="s">
        <v>470</v>
      </c>
      <c r="D7" s="7" t="s">
        <v>471</v>
      </c>
      <c r="E7" s="7" t="s">
        <v>472</v>
      </c>
      <c r="F7" s="24"/>
      <c r="G7" s="24"/>
      <c r="H7" s="24"/>
      <c r="I7" s="24"/>
    </row>
    <row r="8" customFormat="false" ht="23.25" hidden="false" customHeight="true" outlineLevel="0" collapsed="false">
      <c r="A8" s="7" t="s">
        <v>473</v>
      </c>
      <c r="B8" s="7" t="s">
        <v>474</v>
      </c>
      <c r="C8" s="7" t="s">
        <v>475</v>
      </c>
      <c r="D8" s="7" t="s">
        <v>476</v>
      </c>
      <c r="E8" s="7" t="s">
        <v>477</v>
      </c>
      <c r="F8" s="24"/>
      <c r="G8" s="24"/>
      <c r="H8" s="24"/>
      <c r="I8" s="24"/>
    </row>
    <row r="9" customFormat="false" ht="23.25" hidden="false" customHeight="true" outlineLevel="0" collapsed="false">
      <c r="A9" s="7" t="s">
        <v>478</v>
      </c>
      <c r="B9" s="7" t="s">
        <v>479</v>
      </c>
      <c r="C9" s="7" t="s">
        <v>480</v>
      </c>
      <c r="D9" s="7" t="s">
        <v>481</v>
      </c>
      <c r="E9" s="7" t="s">
        <v>482</v>
      </c>
      <c r="F9" s="24"/>
      <c r="G9" s="24"/>
      <c r="H9" s="24"/>
      <c r="I9" s="24"/>
    </row>
    <row r="10" customFormat="false" ht="23.25" hidden="false" customHeight="true" outlineLevel="0" collapsed="false">
      <c r="A10" s="7" t="s">
        <v>483</v>
      </c>
      <c r="B10" s="7" t="s">
        <v>484</v>
      </c>
      <c r="C10" s="7" t="s">
        <v>485</v>
      </c>
      <c r="D10" s="7" t="s">
        <v>486</v>
      </c>
      <c r="E10" s="7" t="s">
        <v>487</v>
      </c>
      <c r="F10" s="24"/>
      <c r="G10" s="24"/>
      <c r="H10" s="24"/>
      <c r="I10" s="24"/>
    </row>
    <row r="11" customFormat="false" ht="23.25" hidden="false" customHeight="true" outlineLevel="0" collapsed="false">
      <c r="A11" s="7" t="s">
        <v>488</v>
      </c>
      <c r="B11" s="7" t="s">
        <v>489</v>
      </c>
      <c r="C11" s="7" t="s">
        <v>490</v>
      </c>
      <c r="D11" s="7" t="s">
        <v>491</v>
      </c>
      <c r="E11" s="7" t="s">
        <v>492</v>
      </c>
      <c r="F11" s="24"/>
      <c r="G11" s="24"/>
      <c r="H11" s="24"/>
      <c r="I11" s="24"/>
    </row>
    <row r="12" customFormat="false" ht="23.25" hidden="false" customHeight="true" outlineLevel="0" collapsed="false">
      <c r="A12" s="7" t="s">
        <v>493</v>
      </c>
      <c r="B12" s="7" t="s">
        <v>494</v>
      </c>
      <c r="C12" s="7" t="s">
        <v>495</v>
      </c>
      <c r="D12" s="7" t="s">
        <v>496</v>
      </c>
      <c r="E12" s="7" t="s">
        <v>497</v>
      </c>
      <c r="F12" s="24"/>
      <c r="G12" s="24"/>
      <c r="H12" s="24"/>
      <c r="I12" s="24"/>
    </row>
    <row r="13" customFormat="false" ht="23.25" hidden="false" customHeight="true" outlineLevel="0" collapsed="false">
      <c r="A13" s="7" t="s">
        <v>498</v>
      </c>
      <c r="B13" s="7" t="s">
        <v>499</v>
      </c>
      <c r="C13" s="7" t="s">
        <v>500</v>
      </c>
      <c r="D13" s="7" t="s">
        <v>501</v>
      </c>
      <c r="E13" s="7" t="s">
        <v>502</v>
      </c>
      <c r="F13" s="24"/>
      <c r="G13" s="24"/>
      <c r="H13" s="24"/>
      <c r="I13" s="24"/>
    </row>
    <row r="14" customFormat="false" ht="23.25" hidden="false" customHeight="true" outlineLevel="0" collapsed="false">
      <c r="A14" s="7" t="s">
        <v>503</v>
      </c>
      <c r="B14" s="7" t="s">
        <v>504</v>
      </c>
      <c r="C14" s="7" t="s">
        <v>505</v>
      </c>
      <c r="D14" s="7" t="s">
        <v>506</v>
      </c>
      <c r="E14" s="7" t="s">
        <v>507</v>
      </c>
      <c r="F14" s="24"/>
      <c r="G14" s="24"/>
      <c r="H14" s="24"/>
      <c r="I14" s="24"/>
    </row>
    <row r="15" customFormat="false" ht="34.5" hidden="false" customHeight="true" outlineLevel="0" collapsed="false">
      <c r="A15" s="7" t="s">
        <v>508</v>
      </c>
      <c r="B15" s="7" t="s">
        <v>509</v>
      </c>
      <c r="C15" s="7" t="s">
        <v>470</v>
      </c>
      <c r="D15" s="7" t="s">
        <v>510</v>
      </c>
      <c r="E15" s="7" t="s">
        <v>511</v>
      </c>
      <c r="F15" s="24"/>
      <c r="G15" s="24"/>
      <c r="H15" s="24"/>
      <c r="I15" s="24"/>
    </row>
    <row r="16" customFormat="false" ht="23.25" hidden="false" customHeight="true" outlineLevel="0" collapsed="false">
      <c r="A16" s="7" t="s">
        <v>512</v>
      </c>
      <c r="B16" s="7" t="s">
        <v>513</v>
      </c>
      <c r="C16" s="7" t="s">
        <v>514</v>
      </c>
      <c r="D16" s="7" t="s">
        <v>515</v>
      </c>
      <c r="E16" s="7" t="s">
        <v>516</v>
      </c>
      <c r="F16" s="24"/>
      <c r="G16" s="24"/>
      <c r="H16" s="24"/>
      <c r="I16" s="24"/>
    </row>
    <row r="17" customFormat="false" ht="23.25" hidden="false" customHeight="true" outlineLevel="0" collapsed="false">
      <c r="A17" s="7" t="s">
        <v>517</v>
      </c>
      <c r="B17" s="7" t="s">
        <v>518</v>
      </c>
      <c r="C17" s="7" t="s">
        <v>519</v>
      </c>
      <c r="D17" s="7" t="s">
        <v>520</v>
      </c>
      <c r="E17" s="7" t="s">
        <v>521</v>
      </c>
      <c r="F17" s="24"/>
      <c r="G17" s="24"/>
      <c r="H17" s="24"/>
      <c r="I17" s="24"/>
    </row>
    <row r="18" customFormat="false" ht="23.25" hidden="false" customHeight="true" outlineLevel="0" collapsed="false">
      <c r="A18" s="7" t="s">
        <v>522</v>
      </c>
      <c r="B18" s="7" t="s">
        <v>523</v>
      </c>
      <c r="C18" s="7" t="s">
        <v>524</v>
      </c>
      <c r="D18" s="7" t="s">
        <v>525</v>
      </c>
      <c r="E18" s="7" t="s">
        <v>526</v>
      </c>
      <c r="F18" s="24"/>
      <c r="G18" s="24"/>
      <c r="H18" s="24"/>
      <c r="I18" s="24"/>
    </row>
    <row r="19" customFormat="false" ht="23.25" hidden="false" customHeight="true" outlineLevel="0" collapsed="false">
      <c r="A19" s="7" t="s">
        <v>527</v>
      </c>
      <c r="B19" s="7" t="s">
        <v>528</v>
      </c>
      <c r="C19" s="7" t="s">
        <v>470</v>
      </c>
      <c r="D19" s="7" t="s">
        <v>529</v>
      </c>
      <c r="E19" s="7" t="s">
        <v>530</v>
      </c>
      <c r="F19" s="24"/>
      <c r="G19" s="24"/>
      <c r="H19" s="24"/>
      <c r="I19" s="24"/>
    </row>
    <row r="20" customFormat="false" ht="23.25" hidden="false" customHeight="true" outlineLevel="0" collapsed="false">
      <c r="A20" s="7" t="s">
        <v>531</v>
      </c>
      <c r="B20" s="7" t="s">
        <v>532</v>
      </c>
      <c r="C20" s="7" t="s">
        <v>533</v>
      </c>
      <c r="D20" s="7" t="s">
        <v>534</v>
      </c>
      <c r="E20" s="7" t="s">
        <v>535</v>
      </c>
      <c r="F20" s="24"/>
      <c r="G20" s="24"/>
      <c r="H20" s="24"/>
      <c r="I20" s="24"/>
    </row>
    <row r="21" customFormat="false" ht="23.25" hidden="false" customHeight="true" outlineLevel="0" collapsed="false">
      <c r="A21" s="7" t="s">
        <v>536</v>
      </c>
      <c r="B21" s="7" t="s">
        <v>537</v>
      </c>
      <c r="C21" s="7" t="s">
        <v>538</v>
      </c>
      <c r="D21" s="7" t="s">
        <v>539</v>
      </c>
      <c r="E21" s="7" t="s">
        <v>540</v>
      </c>
      <c r="F21" s="24"/>
      <c r="G21" s="24"/>
      <c r="H21" s="24"/>
      <c r="I21" s="24"/>
    </row>
    <row r="22" customFormat="false" ht="23.25" hidden="false" customHeight="true" outlineLevel="0" collapsed="false">
      <c r="A22" s="7" t="s">
        <v>541</v>
      </c>
      <c r="B22" s="7" t="s">
        <v>542</v>
      </c>
      <c r="C22" s="7" t="s">
        <v>470</v>
      </c>
      <c r="D22" s="7" t="s">
        <v>543</v>
      </c>
      <c r="E22" s="7" t="s">
        <v>544</v>
      </c>
      <c r="F22" s="24"/>
      <c r="G22" s="24"/>
      <c r="H22" s="24"/>
      <c r="I22" s="24"/>
    </row>
    <row r="23" customFormat="false" ht="15" hidden="false" customHeight="true" outlineLevel="0" collapsed="false">
      <c r="A23" s="7" t="s">
        <v>545</v>
      </c>
      <c r="B23" s="7" t="s">
        <v>546</v>
      </c>
      <c r="C23" s="7" t="s">
        <v>547</v>
      </c>
      <c r="D23" s="7" t="s">
        <v>548</v>
      </c>
      <c r="E23" s="7" t="s">
        <v>549</v>
      </c>
      <c r="F23" s="24"/>
      <c r="G23" s="24"/>
      <c r="H23" s="24"/>
      <c r="I23" s="24"/>
    </row>
    <row r="24" customFormat="false" ht="34.5" hidden="false" customHeight="true" outlineLevel="0" collapsed="false">
      <c r="A24" s="7" t="s">
        <v>550</v>
      </c>
      <c r="B24" s="7" t="s">
        <v>551</v>
      </c>
      <c r="C24" s="7" t="s">
        <v>490</v>
      </c>
      <c r="D24" s="7" t="s">
        <v>552</v>
      </c>
      <c r="E24" s="7" t="s">
        <v>553</v>
      </c>
      <c r="F24" s="24"/>
      <c r="G24" s="24"/>
      <c r="H24" s="24"/>
      <c r="I24" s="24"/>
    </row>
    <row r="25" customFormat="false" ht="23.25" hidden="false" customHeight="true" outlineLevel="0" collapsed="false">
      <c r="A25" s="7" t="s">
        <v>554</v>
      </c>
      <c r="B25" s="7" t="s">
        <v>555</v>
      </c>
      <c r="C25" s="7" t="s">
        <v>556</v>
      </c>
      <c r="D25" s="7" t="s">
        <v>557</v>
      </c>
      <c r="E25" s="7" t="s">
        <v>558</v>
      </c>
      <c r="F25" s="24"/>
      <c r="G25" s="24"/>
      <c r="H25" s="24"/>
      <c r="I25" s="24"/>
    </row>
    <row r="26" customFormat="false" ht="23.25" hidden="false" customHeight="true" outlineLevel="0" collapsed="false">
      <c r="A26" s="7" t="s">
        <v>559</v>
      </c>
      <c r="B26" s="7" t="s">
        <v>560</v>
      </c>
      <c r="C26" s="7" t="s">
        <v>561</v>
      </c>
      <c r="D26" s="7" t="s">
        <v>562</v>
      </c>
      <c r="E26" s="7" t="s">
        <v>563</v>
      </c>
      <c r="F26" s="24"/>
      <c r="G26" s="24"/>
      <c r="H26" s="24"/>
      <c r="I26" s="24"/>
    </row>
    <row r="27" customFormat="false" ht="23.25" hidden="false" customHeight="true" outlineLevel="0" collapsed="false">
      <c r="A27" s="7" t="s">
        <v>564</v>
      </c>
      <c r="B27" s="7" t="s">
        <v>565</v>
      </c>
      <c r="C27" s="7" t="s">
        <v>470</v>
      </c>
      <c r="D27" s="7" t="s">
        <v>566</v>
      </c>
      <c r="E27" s="7" t="s">
        <v>567</v>
      </c>
      <c r="F27" s="24"/>
      <c r="G27" s="24"/>
      <c r="H27" s="24"/>
      <c r="I27" s="24"/>
    </row>
  </sheetData>
  <dataValidations count="2">
    <dataValidation allowBlank="true" errorStyle="stop" operator="between" showDropDown="false" showErrorMessage="false" showInputMessage="false" sqref="F4:F27" type="list">
      <formula1>"High,Medium,Low"</formula1>
      <formula2>0</formula2>
    </dataValidation>
    <dataValidation allowBlank="true" errorStyle="stop" operator="between" showDropDown="false" showErrorMessage="false" showInputMessage="false" sqref="I4:I27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A441"/>
    <pageSetUpPr fitToPage="false"/>
  </sheetPr>
  <dimension ref="A1:F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8"/>
    <col collapsed="false" customWidth="true" hidden="false" outlineLevel="0" max="3" min="3" style="1" width="10"/>
    <col collapsed="false" customWidth="true" hidden="false" outlineLevel="0" max="5" min="4" style="1" width="21"/>
    <col collapsed="false" customWidth="true" hidden="false" outlineLevel="0" max="6" min="6" style="1" width="42"/>
  </cols>
  <sheetData>
    <row r="1" customFormat="false" ht="17.25" hidden="false" customHeight="true" outlineLevel="0" collapsed="false">
      <c r="A1" s="14" t="s">
        <v>568</v>
      </c>
    </row>
    <row r="2" customFormat="false" ht="15" hidden="false" customHeight="true" outlineLevel="0" collapsed="false">
      <c r="A2" s="15" t="s">
        <v>569</v>
      </c>
    </row>
    <row r="3" customFormat="false" ht="33.75" hidden="false" customHeight="true" outlineLevel="0" collapsed="false">
      <c r="A3" s="16" t="s">
        <v>570</v>
      </c>
      <c r="B3" s="16" t="s">
        <v>571</v>
      </c>
      <c r="C3" s="16" t="s">
        <v>572</v>
      </c>
      <c r="D3" s="16" t="s">
        <v>573</v>
      </c>
      <c r="E3" s="16" t="s">
        <v>323</v>
      </c>
      <c r="F3" s="16" t="s">
        <v>234</v>
      </c>
    </row>
    <row r="4" customFormat="false" ht="23.25" hidden="false" customHeight="true" outlineLevel="0" collapsed="false">
      <c r="A4" s="29" t="s">
        <v>574</v>
      </c>
      <c r="B4" s="29" t="s">
        <v>453</v>
      </c>
      <c r="C4" s="29" t="s">
        <v>575</v>
      </c>
      <c r="D4" s="30" t="n">
        <v>46328</v>
      </c>
      <c r="E4" s="29" t="s">
        <v>576</v>
      </c>
      <c r="F4" s="29" t="s">
        <v>577</v>
      </c>
    </row>
    <row r="5" customFormat="false" ht="15" hidden="false" customHeight="true" outlineLevel="0" collapsed="false">
      <c r="A5" s="24"/>
      <c r="B5" s="24"/>
      <c r="C5" s="24"/>
      <c r="D5" s="24"/>
      <c r="E5" s="24"/>
      <c r="F5" s="24"/>
    </row>
    <row r="6" customFormat="false" ht="15" hidden="false" customHeight="true" outlineLevel="0" collapsed="false">
      <c r="A6" s="24"/>
      <c r="B6" s="24"/>
      <c r="C6" s="24"/>
      <c r="D6" s="24"/>
      <c r="E6" s="24"/>
      <c r="F6" s="24"/>
    </row>
    <row r="7" customFormat="false" ht="15" hidden="false" customHeight="true" outlineLevel="0" collapsed="false">
      <c r="A7" s="24"/>
      <c r="B7" s="24"/>
      <c r="C7" s="24"/>
      <c r="D7" s="24"/>
      <c r="E7" s="24"/>
      <c r="F7" s="24"/>
    </row>
    <row r="8" customFormat="false" ht="15" hidden="false" customHeight="true" outlineLevel="0" collapsed="false">
      <c r="A8" s="24"/>
      <c r="B8" s="24"/>
      <c r="C8" s="24"/>
      <c r="D8" s="24"/>
      <c r="E8" s="24"/>
      <c r="F8" s="24"/>
    </row>
    <row r="9" customFormat="false" ht="15" hidden="false" customHeight="true" outlineLevel="0" collapsed="false">
      <c r="A9" s="24"/>
      <c r="B9" s="24"/>
      <c r="C9" s="24"/>
      <c r="D9" s="24"/>
      <c r="E9" s="24"/>
      <c r="F9" s="24"/>
    </row>
    <row r="10" customFormat="false" ht="15" hidden="false" customHeight="true" outlineLevel="0" collapsed="false">
      <c r="A10" s="24"/>
      <c r="B10" s="24"/>
      <c r="C10" s="24"/>
      <c r="D10" s="24"/>
      <c r="E10" s="24"/>
      <c r="F10" s="24"/>
    </row>
    <row r="11" customFormat="false" ht="15" hidden="false" customHeight="true" outlineLevel="0" collapsed="false">
      <c r="A11" s="24"/>
      <c r="B11" s="24"/>
      <c r="C11" s="24"/>
      <c r="D11" s="24"/>
      <c r="E11" s="24"/>
      <c r="F11" s="24"/>
    </row>
    <row r="12" customFormat="false" ht="15" hidden="false" customHeight="true" outlineLevel="0" collapsed="false">
      <c r="A12" s="24"/>
      <c r="B12" s="24"/>
      <c r="C12" s="24"/>
      <c r="D12" s="24"/>
      <c r="E12" s="24"/>
      <c r="F12" s="24"/>
    </row>
    <row r="13" customFormat="false" ht="15" hidden="false" customHeight="true" outlineLevel="0" collapsed="false">
      <c r="A13" s="24"/>
      <c r="B13" s="24"/>
      <c r="C13" s="24"/>
      <c r="D13" s="24"/>
      <c r="E13" s="24"/>
      <c r="F13" s="24"/>
    </row>
    <row r="14" customFormat="false" ht="15" hidden="false" customHeight="true" outlineLevel="0" collapsed="false">
      <c r="A14" s="24"/>
      <c r="B14" s="24"/>
      <c r="C14" s="24"/>
      <c r="D14" s="24"/>
      <c r="E14" s="24"/>
      <c r="F14" s="24"/>
    </row>
    <row r="15" customFormat="false" ht="15" hidden="false" customHeight="true" outlineLevel="0" collapsed="false">
      <c r="A15" s="21"/>
      <c r="B15" s="21"/>
      <c r="C15" s="21"/>
      <c r="D15" s="21"/>
      <c r="E15" s="21"/>
      <c r="F15" s="21"/>
    </row>
    <row r="16" customFormat="false" ht="15" hidden="false" customHeight="true" outlineLevel="0" collapsed="false">
      <c r="A16" s="21"/>
      <c r="B16" s="21"/>
      <c r="C16" s="21"/>
      <c r="D16" s="21"/>
      <c r="E16" s="21"/>
      <c r="F16" s="21"/>
    </row>
    <row r="17" customFormat="false" ht="15" hidden="false" customHeight="true" outlineLevel="0" collapsed="false">
      <c r="A17" s="21"/>
      <c r="B17" s="21"/>
      <c r="C17" s="21"/>
      <c r="D17" s="21"/>
      <c r="E17" s="21"/>
      <c r="F17" s="21"/>
    </row>
    <row r="18" customFormat="false" ht="15" hidden="false" customHeight="true" outlineLevel="0" collapsed="false">
      <c r="A18" s="21"/>
      <c r="B18" s="21"/>
      <c r="C18" s="21"/>
      <c r="D18" s="21"/>
      <c r="E18" s="21"/>
      <c r="F18" s="21"/>
    </row>
    <row r="19" customFormat="false" ht="15" hidden="false" customHeight="true" outlineLevel="0" collapsed="false">
      <c r="A19" s="21"/>
      <c r="B19" s="21"/>
      <c r="C19" s="21"/>
      <c r="D19" s="21"/>
      <c r="E19" s="21"/>
      <c r="F19" s="21"/>
    </row>
    <row r="20" customFormat="false" ht="15" hidden="false" customHeight="true" outlineLevel="0" collapsed="false">
      <c r="A20" s="21"/>
      <c r="B20" s="21"/>
      <c r="C20" s="21"/>
      <c r="D20" s="21"/>
      <c r="E20" s="21"/>
      <c r="F20" s="21"/>
    </row>
    <row r="21" customFormat="false" ht="15" hidden="false" customHeight="true" outlineLevel="0" collapsed="false">
      <c r="A21" s="21"/>
      <c r="B21" s="21"/>
      <c r="C21" s="21"/>
      <c r="D21" s="21"/>
      <c r="E21" s="21"/>
      <c r="F21" s="21"/>
    </row>
    <row r="22" customFormat="false" ht="15" hidden="false" customHeight="true" outlineLevel="0" collapsed="false">
      <c r="A22" s="21"/>
      <c r="B22" s="21"/>
      <c r="C22" s="21"/>
      <c r="D22" s="21"/>
      <c r="E22" s="21"/>
      <c r="F22" s="21"/>
    </row>
    <row r="23" customFormat="false" ht="15" hidden="false" customHeight="true" outlineLevel="0" collapsed="false">
      <c r="A23" s="21"/>
      <c r="B23" s="21"/>
      <c r="C23" s="21"/>
      <c r="D23" s="21"/>
      <c r="E23" s="21"/>
      <c r="F23" s="21"/>
    </row>
    <row r="24" customFormat="false" ht="15" hidden="false" customHeight="true" outlineLevel="0" collapsed="false">
      <c r="A24" s="21"/>
      <c r="B24" s="21"/>
      <c r="C24" s="21"/>
      <c r="D24" s="21"/>
      <c r="E24" s="21"/>
      <c r="F24" s="21"/>
    </row>
  </sheetData>
  <dataValidations count="1">
    <dataValidation allowBlank="true" errorStyle="stop" operator="between" showDropDown="false" showErrorMessage="false" showInputMessage="false" sqref="E5:E24" type="list">
      <formula1>"To do,In progress,Waiting on someone,Done"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5F"/>
    <pageSetUpPr fitToPage="false"/>
  </sheetPr>
  <dimension ref="A1:M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27"/>
    <col collapsed="false" customWidth="true" hidden="false" outlineLevel="0" max="5" min="3" style="1" width="11"/>
    <col collapsed="false" customWidth="true" hidden="false" outlineLevel="0" max="6" min="6" style="1" width="42"/>
    <col collapsed="false" customWidth="true" hidden="false" outlineLevel="0" max="7" min="7" style="1" width="36"/>
    <col collapsed="false" customWidth="true" hidden="false" outlineLevel="0" max="8" min="8" style="1" width="38"/>
    <col collapsed="false" customWidth="true" hidden="false" outlineLevel="0" max="9" min="9" style="1" width="14"/>
    <col collapsed="false" customWidth="true" hidden="false" outlineLevel="0" max="10" min="10" style="1" width="27"/>
    <col collapsed="false" customWidth="true" hidden="false" outlineLevel="0" max="11" min="11" style="1" width="39"/>
    <col collapsed="false" customWidth="true" hidden="false" outlineLevel="0" max="12" min="12" style="1" width="11"/>
    <col collapsed="false" customWidth="true" hidden="false" outlineLevel="0" max="13" min="13" style="1" width="14"/>
  </cols>
  <sheetData>
    <row r="1" customFormat="false" ht="17.25" hidden="false" customHeight="true" outlineLevel="0" collapsed="false">
      <c r="A1" s="14" t="s">
        <v>578</v>
      </c>
    </row>
    <row r="2" customFormat="false" ht="15" hidden="false" customHeight="true" outlineLevel="0" collapsed="false">
      <c r="A2" s="15" t="s">
        <v>579</v>
      </c>
    </row>
    <row r="3" customFormat="false" ht="33.75" hidden="false" customHeight="true" outlineLevel="0" collapsed="false">
      <c r="A3" s="16" t="s">
        <v>580</v>
      </c>
      <c r="B3" s="16" t="s">
        <v>581</v>
      </c>
      <c r="C3" s="16" t="s">
        <v>170</v>
      </c>
      <c r="D3" s="16" t="s">
        <v>318</v>
      </c>
      <c r="E3" s="16" t="s">
        <v>321</v>
      </c>
      <c r="F3" s="16" t="s">
        <v>582</v>
      </c>
      <c r="G3" s="16" t="s">
        <v>583</v>
      </c>
      <c r="H3" s="16" t="s">
        <v>584</v>
      </c>
      <c r="I3" s="16" t="s">
        <v>585</v>
      </c>
      <c r="J3" s="16" t="s">
        <v>586</v>
      </c>
      <c r="K3" s="16" t="s">
        <v>587</v>
      </c>
      <c r="L3" s="16" t="s">
        <v>323</v>
      </c>
      <c r="M3" s="16" t="s">
        <v>234</v>
      </c>
    </row>
    <row r="4" customFormat="false" ht="23.25" hidden="false" customHeight="true" outlineLevel="0" collapsed="false">
      <c r="A4" s="29" t="s">
        <v>588</v>
      </c>
      <c r="B4" s="29" t="s">
        <v>589</v>
      </c>
      <c r="C4" s="29" t="s">
        <v>179</v>
      </c>
      <c r="D4" s="29" t="s">
        <v>184</v>
      </c>
      <c r="E4" s="29" t="s">
        <v>285</v>
      </c>
      <c r="F4" s="29" t="s">
        <v>590</v>
      </c>
      <c r="G4" s="29" t="s">
        <v>591</v>
      </c>
      <c r="H4" s="29" t="s">
        <v>592</v>
      </c>
      <c r="I4" s="29" t="s">
        <v>242</v>
      </c>
      <c r="J4" s="29" t="s">
        <v>593</v>
      </c>
      <c r="K4" s="31"/>
      <c r="L4" s="29" t="s">
        <v>594</v>
      </c>
      <c r="M4" s="29" t="s">
        <v>595</v>
      </c>
    </row>
    <row r="5" customFormat="false" ht="15" hidden="false" customHeight="true" outlineLevel="0" collapsed="false">
      <c r="A5" s="24"/>
      <c r="B5" s="24"/>
      <c r="C5" s="24"/>
      <c r="D5" s="24"/>
      <c r="E5" s="24"/>
      <c r="F5" s="24"/>
      <c r="G5" s="24"/>
      <c r="H5" s="24"/>
      <c r="I5" s="24"/>
      <c r="J5" s="24"/>
      <c r="K5" s="21"/>
      <c r="L5" s="24"/>
      <c r="M5" s="24"/>
    </row>
    <row r="6" customFormat="false" ht="15" hidden="false" customHeight="true" outlineLevel="0" collapsed="false">
      <c r="A6" s="24"/>
      <c r="B6" s="24"/>
      <c r="C6" s="24"/>
      <c r="D6" s="24"/>
      <c r="E6" s="24"/>
      <c r="F6" s="24"/>
      <c r="G6" s="24"/>
      <c r="H6" s="24"/>
      <c r="I6" s="24"/>
      <c r="J6" s="24"/>
      <c r="K6" s="21"/>
      <c r="L6" s="24"/>
      <c r="M6" s="24"/>
    </row>
    <row r="7" customFormat="false" ht="15" hidden="false" customHeight="true" outlineLevel="0" collapsed="false">
      <c r="A7" s="24"/>
      <c r="B7" s="24"/>
      <c r="C7" s="24"/>
      <c r="D7" s="24"/>
      <c r="E7" s="24"/>
      <c r="F7" s="24"/>
      <c r="G7" s="24"/>
      <c r="H7" s="24"/>
      <c r="I7" s="24"/>
      <c r="J7" s="24"/>
      <c r="K7" s="21"/>
      <c r="L7" s="24"/>
      <c r="M7" s="24"/>
    </row>
    <row r="8" customFormat="false" ht="15" hidden="false" customHeight="true" outlineLevel="0" collapsed="false">
      <c r="A8" s="24"/>
      <c r="B8" s="24"/>
      <c r="C8" s="24"/>
      <c r="D8" s="24"/>
      <c r="E8" s="24"/>
      <c r="F8" s="24"/>
      <c r="G8" s="24"/>
      <c r="H8" s="24"/>
      <c r="I8" s="24"/>
      <c r="J8" s="24"/>
      <c r="K8" s="21"/>
      <c r="L8" s="24"/>
      <c r="M8" s="24"/>
    </row>
    <row r="9" customFormat="false" ht="15" hidden="false" customHeight="true" outlineLevel="0" collapsed="false">
      <c r="A9" s="24"/>
      <c r="B9" s="24"/>
      <c r="C9" s="24"/>
      <c r="D9" s="24"/>
      <c r="E9" s="24"/>
      <c r="F9" s="24"/>
      <c r="G9" s="24"/>
      <c r="H9" s="24"/>
      <c r="I9" s="24"/>
      <c r="J9" s="24"/>
      <c r="K9" s="21"/>
      <c r="L9" s="24"/>
      <c r="M9" s="24"/>
    </row>
    <row r="10" customFormat="false" ht="15" hidden="false" customHeight="true" outlineLevel="0" collapsed="false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1"/>
      <c r="L10" s="24"/>
      <c r="M10" s="24"/>
    </row>
    <row r="11" customFormat="false" ht="15" hidden="false" customHeight="true" outlineLevel="0" collapsed="false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1"/>
      <c r="L11" s="24"/>
      <c r="M11" s="24"/>
    </row>
    <row r="12" customFormat="false" ht="15" hidden="false" customHeight="true" outlineLevel="0" collapsed="false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1"/>
      <c r="L12" s="24"/>
      <c r="M12" s="24"/>
    </row>
    <row r="13" customFormat="false" ht="15" hidden="false" customHeight="true" outlineLevel="0" collapsed="false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1"/>
      <c r="L13" s="24"/>
      <c r="M13" s="24"/>
    </row>
    <row r="14" customFormat="false" ht="15" hidden="false" customHeight="true" outlineLevel="0" collapsed="false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1"/>
      <c r="L14" s="24"/>
      <c r="M14" s="24"/>
    </row>
  </sheetData>
  <dataValidations count="1">
    <dataValidation allowBlank="true" errorStyle="stop" operator="between" showDropDown="false" showErrorMessage="false" showInputMessage="false" sqref="L5:L14" type="list">
      <formula1>"Open,Escalated,Closed"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8B2AC"/>
    <pageSetUpPr fitToPage="false"/>
  </sheetPr>
  <dimension ref="A1:K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21"/>
    <col collapsed="false" customWidth="true" hidden="false" outlineLevel="0" max="3" min="3" style="1" width="14"/>
    <col collapsed="false" customWidth="true" hidden="false" outlineLevel="0" max="4" min="4" style="1" width="19"/>
    <col collapsed="false" customWidth="true" hidden="false" outlineLevel="0" max="5" min="5" style="1" width="24"/>
    <col collapsed="false" customWidth="true" hidden="false" outlineLevel="0" max="7" min="6" style="1" width="42"/>
    <col collapsed="false" customWidth="true" hidden="false" outlineLevel="0" max="8" min="8" style="1" width="14"/>
    <col collapsed="false" customWidth="true" hidden="false" outlineLevel="0" max="9" min="9" style="1" width="21"/>
    <col collapsed="false" customWidth="true" hidden="false" outlineLevel="0" max="10" min="10" style="1" width="11"/>
    <col collapsed="false" customWidth="true" hidden="false" outlineLevel="0" max="11" min="11" style="1" width="28"/>
  </cols>
  <sheetData>
    <row r="1" customFormat="false" ht="17.25" hidden="false" customHeight="true" outlineLevel="0" collapsed="false">
      <c r="A1" s="14" t="s">
        <v>596</v>
      </c>
    </row>
    <row r="2" customFormat="false" ht="15" hidden="false" customHeight="true" outlineLevel="0" collapsed="false">
      <c r="A2" s="15" t="s">
        <v>597</v>
      </c>
    </row>
    <row r="3" customFormat="false" ht="33.75" hidden="false" customHeight="true" outlineLevel="0" collapsed="false">
      <c r="A3" s="16" t="s">
        <v>580</v>
      </c>
      <c r="B3" s="16" t="s">
        <v>598</v>
      </c>
      <c r="C3" s="16" t="s">
        <v>599</v>
      </c>
      <c r="D3" s="16" t="s">
        <v>600</v>
      </c>
      <c r="E3" s="16" t="s">
        <v>601</v>
      </c>
      <c r="F3" s="16" t="s">
        <v>602</v>
      </c>
      <c r="G3" s="16" t="s">
        <v>603</v>
      </c>
      <c r="H3" s="16" t="s">
        <v>585</v>
      </c>
      <c r="I3" s="16" t="s">
        <v>604</v>
      </c>
      <c r="J3" s="16" t="s">
        <v>323</v>
      </c>
      <c r="K3" s="16" t="s">
        <v>605</v>
      </c>
    </row>
    <row r="4" customFormat="false" ht="23.25" hidden="false" customHeight="true" outlineLevel="0" collapsed="false">
      <c r="A4" s="29" t="s">
        <v>588</v>
      </c>
      <c r="B4" s="30" t="n">
        <v>46314</v>
      </c>
      <c r="C4" s="29" t="s">
        <v>606</v>
      </c>
      <c r="D4" s="29" t="s">
        <v>607</v>
      </c>
      <c r="E4" s="29" t="s">
        <v>197</v>
      </c>
      <c r="F4" s="29" t="s">
        <v>608</v>
      </c>
      <c r="G4" s="29" t="s">
        <v>609</v>
      </c>
      <c r="H4" s="29" t="s">
        <v>242</v>
      </c>
      <c r="I4" s="30" t="n">
        <v>46314</v>
      </c>
      <c r="J4" s="29" t="s">
        <v>594</v>
      </c>
      <c r="K4" s="31"/>
    </row>
    <row r="5" customFormat="false" ht="15" hidden="false" customHeight="true" outlineLevel="0" collapsed="false">
      <c r="A5" s="24"/>
      <c r="B5" s="24"/>
      <c r="C5" s="24"/>
      <c r="D5" s="24"/>
      <c r="E5" s="24"/>
      <c r="F5" s="24"/>
      <c r="G5" s="24"/>
      <c r="H5" s="24"/>
      <c r="I5" s="24"/>
      <c r="J5" s="24"/>
      <c r="K5" s="21"/>
    </row>
    <row r="6" customFormat="false" ht="15" hidden="false" customHeight="true" outlineLevel="0" collapsed="false">
      <c r="A6" s="24"/>
      <c r="B6" s="24"/>
      <c r="C6" s="24"/>
      <c r="D6" s="24"/>
      <c r="E6" s="24"/>
      <c r="F6" s="24"/>
      <c r="G6" s="24"/>
      <c r="H6" s="24"/>
      <c r="I6" s="24"/>
      <c r="J6" s="24"/>
      <c r="K6" s="21"/>
    </row>
    <row r="7" customFormat="false" ht="15" hidden="false" customHeight="true" outlineLevel="0" collapsed="false">
      <c r="A7" s="24"/>
      <c r="B7" s="24"/>
      <c r="C7" s="24"/>
      <c r="D7" s="24"/>
      <c r="E7" s="24"/>
      <c r="F7" s="24"/>
      <c r="G7" s="24"/>
      <c r="H7" s="24"/>
      <c r="I7" s="24"/>
      <c r="J7" s="24"/>
      <c r="K7" s="21"/>
    </row>
    <row r="8" customFormat="false" ht="15" hidden="false" customHeight="true" outlineLevel="0" collapsed="false">
      <c r="A8" s="24"/>
      <c r="B8" s="24"/>
      <c r="C8" s="24"/>
      <c r="D8" s="24"/>
      <c r="E8" s="24"/>
      <c r="F8" s="24"/>
      <c r="G8" s="24"/>
      <c r="H8" s="24"/>
      <c r="I8" s="24"/>
      <c r="J8" s="24"/>
      <c r="K8" s="21"/>
    </row>
    <row r="9" customFormat="false" ht="15" hidden="false" customHeight="true" outlineLevel="0" collapsed="false">
      <c r="A9" s="24"/>
      <c r="B9" s="24"/>
      <c r="C9" s="24"/>
      <c r="D9" s="24"/>
      <c r="E9" s="24"/>
      <c r="F9" s="24"/>
      <c r="G9" s="24"/>
      <c r="H9" s="24"/>
      <c r="I9" s="24"/>
      <c r="J9" s="24"/>
      <c r="K9" s="21"/>
    </row>
    <row r="10" customFormat="false" ht="15" hidden="false" customHeight="true" outlineLevel="0" collapsed="false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1"/>
    </row>
    <row r="11" customFormat="false" ht="15" hidden="false" customHeight="true" outlineLevel="0" collapsed="false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1"/>
    </row>
    <row r="12" customFormat="false" ht="15" hidden="false" customHeight="true" outlineLevel="0" collapsed="false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1"/>
    </row>
    <row r="13" customFormat="false" ht="15" hidden="false" customHeight="true" outlineLevel="0" collapsed="false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1"/>
    </row>
    <row r="14" customFormat="false" ht="15" hidden="false" customHeight="true" outlineLevel="0" collapsed="false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1"/>
    </row>
  </sheetData>
  <dataValidations count="1">
    <dataValidation allowBlank="true" errorStyle="stop" operator="between" showDropDown="false" showErrorMessage="false" showInputMessage="false" sqref="J5:J14" type="list">
      <formula1>"Open,Escalated,Closed"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A441"/>
    <pageSetUpPr fitToPage="false"/>
  </sheetPr>
  <dimension ref="A1:K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4"/>
    <col collapsed="false" customWidth="true" hidden="false" outlineLevel="0" max="3" min="3" style="1" width="42"/>
    <col collapsed="false" customWidth="true" hidden="false" outlineLevel="0" max="4" min="4" style="1" width="14"/>
    <col collapsed="false" customWidth="true" hidden="false" outlineLevel="0" max="5" min="5" style="1" width="42"/>
    <col collapsed="false" customWidth="true" hidden="false" outlineLevel="0" max="6" min="6" style="1" width="21"/>
    <col collapsed="false" customWidth="true" hidden="false" outlineLevel="0" max="7" min="7" style="1" width="42"/>
    <col collapsed="false" customWidth="true" hidden="false" outlineLevel="0" max="8" min="8" style="1" width="18"/>
    <col collapsed="false" customWidth="true" hidden="false" outlineLevel="0" max="9" min="9" style="1" width="42"/>
    <col collapsed="false" customWidth="true" hidden="false" outlineLevel="0" max="10" min="10" style="1" width="10"/>
    <col collapsed="false" customWidth="true" hidden="false" outlineLevel="0" max="11" min="11" style="1" width="15"/>
  </cols>
  <sheetData>
    <row r="1" customFormat="false" ht="19.5" hidden="false" customHeight="true" outlineLevel="0" collapsed="false">
      <c r="A1" s="32" t="s">
        <v>610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customFormat="false" ht="15" hidden="false" customHeight="true" outlineLevel="0" collapsed="false">
      <c r="A2" s="33" t="s">
        <v>611</v>
      </c>
      <c r="B2" s="33"/>
      <c r="C2" s="33"/>
      <c r="D2" s="33"/>
      <c r="E2" s="33"/>
      <c r="F2" s="33"/>
      <c r="G2" s="33"/>
      <c r="H2" s="33"/>
      <c r="I2" s="33"/>
      <c r="J2" s="33"/>
      <c r="K2" s="33"/>
    </row>
    <row r="4" customFormat="false" ht="15" hidden="false" customHeight="true" outlineLevel="0" collapsed="false">
      <c r="A4" s="34" t="s">
        <v>612</v>
      </c>
      <c r="B4" s="34" t="s">
        <v>613</v>
      </c>
      <c r="C4" s="34" t="s">
        <v>614</v>
      </c>
      <c r="D4" s="34" t="s">
        <v>572</v>
      </c>
      <c r="E4" s="34" t="s">
        <v>615</v>
      </c>
      <c r="F4" s="34" t="s">
        <v>616</v>
      </c>
      <c r="G4" s="34" t="s">
        <v>617</v>
      </c>
      <c r="H4" s="34" t="s">
        <v>618</v>
      </c>
      <c r="I4" s="34" t="s">
        <v>619</v>
      </c>
      <c r="J4" s="34" t="s">
        <v>323</v>
      </c>
      <c r="K4" s="34" t="s">
        <v>620</v>
      </c>
    </row>
    <row r="5" customFormat="false" ht="27.75" hidden="false" customHeight="true" outlineLevel="0" collapsed="false">
      <c r="A5" s="10" t="s">
        <v>621</v>
      </c>
      <c r="B5" s="10" t="s">
        <v>622</v>
      </c>
      <c r="C5" s="10" t="s">
        <v>623</v>
      </c>
      <c r="D5" s="10" t="s">
        <v>242</v>
      </c>
      <c r="E5" s="10" t="s">
        <v>624</v>
      </c>
      <c r="F5" s="10" t="s">
        <v>606</v>
      </c>
      <c r="G5" s="10" t="s">
        <v>625</v>
      </c>
      <c r="H5" s="35"/>
      <c r="I5" s="10" t="s">
        <v>626</v>
      </c>
      <c r="J5" s="10" t="s">
        <v>627</v>
      </c>
      <c r="K5" s="35"/>
    </row>
    <row r="6" customFormat="false" ht="27.75" hidden="false" customHeight="true" outlineLevel="0" collapsed="false">
      <c r="A6" s="35"/>
      <c r="B6" s="35"/>
      <c r="C6" s="35"/>
      <c r="D6" s="35"/>
      <c r="E6" s="35"/>
      <c r="F6" s="35"/>
      <c r="G6" s="35"/>
      <c r="H6" s="35"/>
      <c r="I6" s="35"/>
      <c r="J6" s="35"/>
      <c r="K6" s="35"/>
    </row>
    <row r="7" customFormat="false" ht="27.75" hidden="false" customHeight="true" outlineLevel="0" collapsed="false">
      <c r="A7" s="35"/>
      <c r="B7" s="35"/>
      <c r="C7" s="35"/>
      <c r="D7" s="35"/>
      <c r="E7" s="35"/>
      <c r="F7" s="35"/>
      <c r="G7" s="35"/>
      <c r="H7" s="35"/>
      <c r="I7" s="35"/>
      <c r="J7" s="35"/>
      <c r="K7" s="35"/>
    </row>
    <row r="8" customFormat="false" ht="27.75" hidden="false" customHeight="true" outlineLevel="0" collapsed="false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</row>
  </sheetData>
  <autoFilter ref="A4:K23"/>
  <mergeCells count="2">
    <mergeCell ref="A1:K1"/>
    <mergeCell ref="A2:K2"/>
  </mergeCells>
  <dataValidations count="1">
    <dataValidation allowBlank="true" errorStyle="stop" operator="between" showDropDown="false" showErrorMessage="false" showInputMessage="false" sqref="J5:J23" type="list">
      <formula1>"Open,Waiting on someone,Follow up due,Closed"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5F"/>
    <pageSetUpPr fitToPage="false"/>
  </sheetPr>
  <dimension ref="A1:G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0"/>
    <col collapsed="false" customWidth="true" hidden="false" outlineLevel="0" max="4" min="3" style="1" width="42"/>
    <col collapsed="false" customWidth="true" hidden="false" outlineLevel="0" max="5" min="5" style="1" width="21"/>
    <col collapsed="false" customWidth="true" hidden="false" outlineLevel="0" max="6" min="6" style="1" width="29"/>
    <col collapsed="false" customWidth="true" hidden="false" outlineLevel="0" max="7" min="7" style="1" width="21"/>
  </cols>
  <sheetData>
    <row r="1" customFormat="false" ht="19.5" hidden="false" customHeight="true" outlineLevel="0" collapsed="false">
      <c r="A1" s="32" t="s">
        <v>628</v>
      </c>
      <c r="B1" s="32"/>
      <c r="C1" s="32"/>
      <c r="D1" s="32"/>
      <c r="E1" s="32"/>
      <c r="F1" s="32"/>
      <c r="G1" s="32"/>
    </row>
    <row r="2" customFormat="false" ht="15" hidden="false" customHeight="true" outlineLevel="0" collapsed="false">
      <c r="A2" s="33" t="s">
        <v>629</v>
      </c>
      <c r="B2" s="33"/>
      <c r="C2" s="33"/>
      <c r="D2" s="33"/>
      <c r="E2" s="33"/>
      <c r="F2" s="33"/>
      <c r="G2" s="33"/>
    </row>
    <row r="3" customFormat="false" ht="15" hidden="false" customHeight="true" outlineLevel="0" collapsed="false">
      <c r="A3" s="36" t="s">
        <v>630</v>
      </c>
      <c r="B3" s="36" t="s">
        <v>631</v>
      </c>
      <c r="C3" s="36" t="s">
        <v>632</v>
      </c>
      <c r="D3" s="36" t="s">
        <v>633</v>
      </c>
      <c r="E3" s="36" t="s">
        <v>634</v>
      </c>
      <c r="F3" s="36" t="s">
        <v>635</v>
      </c>
      <c r="G3" s="36" t="s">
        <v>636</v>
      </c>
    </row>
    <row r="4" customFormat="false" ht="15" hidden="false" customHeight="true" outlineLevel="0" collapsed="false">
      <c r="A4" s="10" t="s">
        <v>630</v>
      </c>
      <c r="B4" s="10" t="s">
        <v>631</v>
      </c>
      <c r="C4" s="10" t="s">
        <v>632</v>
      </c>
      <c r="D4" s="10" t="s">
        <v>633</v>
      </c>
    </row>
    <row r="5" customFormat="false" ht="41.25" hidden="false" customHeight="true" outlineLevel="0" collapsed="false">
      <c r="A5" s="10" t="s">
        <v>637</v>
      </c>
      <c r="B5" s="10" t="s">
        <v>638</v>
      </c>
      <c r="C5" s="10" t="s">
        <v>639</v>
      </c>
      <c r="D5" s="10" t="s">
        <v>640</v>
      </c>
      <c r="E5" s="35"/>
      <c r="F5" s="35"/>
      <c r="G5" s="35"/>
    </row>
    <row r="6" customFormat="false" ht="41.25" hidden="false" customHeight="true" outlineLevel="0" collapsed="false">
      <c r="A6" s="10" t="s">
        <v>641</v>
      </c>
      <c r="B6" s="10" t="s">
        <v>638</v>
      </c>
      <c r="C6" s="10" t="s">
        <v>642</v>
      </c>
      <c r="D6" s="10" t="s">
        <v>643</v>
      </c>
      <c r="E6" s="35"/>
      <c r="F6" s="35"/>
      <c r="G6" s="35"/>
    </row>
    <row r="7" customFormat="false" ht="41.25" hidden="false" customHeight="true" outlineLevel="0" collapsed="false">
      <c r="A7" s="10" t="s">
        <v>644</v>
      </c>
      <c r="B7" s="10" t="s">
        <v>645</v>
      </c>
      <c r="C7" s="10" t="s">
        <v>646</v>
      </c>
      <c r="D7" s="10" t="s">
        <v>647</v>
      </c>
      <c r="E7" s="35"/>
      <c r="F7" s="35"/>
      <c r="G7" s="35"/>
    </row>
    <row r="8" customFormat="false" ht="41.25" hidden="false" customHeight="true" outlineLevel="0" collapsed="false">
      <c r="A8" s="10" t="s">
        <v>648</v>
      </c>
      <c r="B8" s="10" t="s">
        <v>638</v>
      </c>
      <c r="C8" s="10" t="s">
        <v>649</v>
      </c>
      <c r="D8" s="10" t="s">
        <v>650</v>
      </c>
      <c r="E8" s="35"/>
      <c r="F8" s="35"/>
      <c r="G8" s="35"/>
    </row>
  </sheetData>
  <autoFilter ref="A4:G8"/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8B2AC"/>
    <pageSetUpPr fitToPage="false"/>
  </sheetPr>
  <dimension ref="A1:C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3" min="1" style="1" width="42"/>
  </cols>
  <sheetData>
    <row r="1" customFormat="false" ht="19.5" hidden="false" customHeight="true" outlineLevel="0" collapsed="false">
      <c r="A1" s="32" t="s">
        <v>651</v>
      </c>
      <c r="B1" s="32"/>
      <c r="C1" s="32"/>
    </row>
    <row r="2" customFormat="false" ht="15" hidden="false" customHeight="true" outlineLevel="0" collapsed="false">
      <c r="A2" s="33" t="s">
        <v>652</v>
      </c>
      <c r="B2" s="33"/>
      <c r="C2" s="33"/>
    </row>
    <row r="4" customFormat="false" ht="15" hidden="false" customHeight="true" outlineLevel="0" collapsed="false">
      <c r="A4" s="34" t="s">
        <v>653</v>
      </c>
      <c r="B4" s="34" t="s">
        <v>654</v>
      </c>
      <c r="C4" s="34" t="s">
        <v>655</v>
      </c>
    </row>
    <row r="5" customFormat="false" ht="15" hidden="false" customHeight="true" outlineLevel="0" collapsed="false">
      <c r="A5" s="10" t="s">
        <v>656</v>
      </c>
      <c r="B5" s="10" t="s">
        <v>657</v>
      </c>
      <c r="C5" s="10" t="s">
        <v>658</v>
      </c>
    </row>
    <row r="6" customFormat="false" ht="15" hidden="false" customHeight="true" outlineLevel="0" collapsed="false">
      <c r="A6" s="10" t="s">
        <v>170</v>
      </c>
      <c r="B6" s="10" t="s">
        <v>179</v>
      </c>
      <c r="C6" s="10" t="s">
        <v>659</v>
      </c>
    </row>
    <row r="7" customFormat="false" ht="27.75" hidden="false" customHeight="true" outlineLevel="0" collapsed="false">
      <c r="A7" s="10" t="s">
        <v>171</v>
      </c>
      <c r="B7" s="10" t="s">
        <v>180</v>
      </c>
      <c r="C7" s="10" t="s">
        <v>660</v>
      </c>
    </row>
    <row r="8" customFormat="false" ht="15" hidden="false" customHeight="true" outlineLevel="0" collapsed="false">
      <c r="A8" s="10" t="s">
        <v>661</v>
      </c>
      <c r="B8" s="10" t="s">
        <v>662</v>
      </c>
      <c r="C8" s="10" t="s">
        <v>663</v>
      </c>
    </row>
    <row r="9" customFormat="false" ht="15" hidden="false" customHeight="true" outlineLevel="0" collapsed="false">
      <c r="A9" s="10" t="s">
        <v>664</v>
      </c>
      <c r="B9" s="10" t="s">
        <v>665</v>
      </c>
      <c r="C9" s="10" t="s">
        <v>666</v>
      </c>
    </row>
    <row r="10" customFormat="false" ht="15" hidden="false" customHeight="true" outlineLevel="0" collapsed="false">
      <c r="A10" s="10" t="s">
        <v>667</v>
      </c>
      <c r="B10" s="10" t="s">
        <v>668</v>
      </c>
      <c r="C10" s="10" t="s">
        <v>669</v>
      </c>
    </row>
    <row r="11" customFormat="false" ht="15" hidden="false" customHeight="true" outlineLevel="0" collapsed="false">
      <c r="A11" s="10" t="s">
        <v>670</v>
      </c>
      <c r="B11" s="10" t="s">
        <v>671</v>
      </c>
      <c r="C11" s="10" t="s">
        <v>666</v>
      </c>
    </row>
    <row r="12" customFormat="false" ht="15" hidden="false" customHeight="true" outlineLevel="0" collapsed="false">
      <c r="A12" s="10" t="s">
        <v>672</v>
      </c>
      <c r="B12" s="10" t="s">
        <v>673</v>
      </c>
      <c r="C12" s="10" t="s">
        <v>669</v>
      </c>
    </row>
    <row r="13" customFormat="false" ht="15" hidden="false" customHeight="true" outlineLevel="0" collapsed="false">
      <c r="A13" s="10" t="s">
        <v>674</v>
      </c>
      <c r="B13" s="10" t="s">
        <v>675</v>
      </c>
      <c r="C13" s="10" t="s">
        <v>676</v>
      </c>
    </row>
    <row r="14" customFormat="false" ht="15" hidden="false" customHeight="true" outlineLevel="0" collapsed="false">
      <c r="A14" s="10" t="s">
        <v>677</v>
      </c>
      <c r="B14" s="10" t="s">
        <v>675</v>
      </c>
      <c r="C14" s="10" t="s">
        <v>676</v>
      </c>
    </row>
    <row r="15" customFormat="false" ht="15" hidden="false" customHeight="true" outlineLevel="0" collapsed="false">
      <c r="A15" s="10" t="s">
        <v>175</v>
      </c>
      <c r="B15" s="10" t="s">
        <v>678</v>
      </c>
      <c r="C15" s="10" t="s">
        <v>679</v>
      </c>
    </row>
    <row r="16" customFormat="false" ht="27.75" hidden="false" customHeight="true" outlineLevel="0" collapsed="false">
      <c r="A16" s="10" t="s">
        <v>680</v>
      </c>
      <c r="B16" s="10" t="s">
        <v>681</v>
      </c>
      <c r="C16" s="10" t="s">
        <v>682</v>
      </c>
    </row>
    <row r="18" customFormat="false" ht="15" hidden="false" customHeight="true" outlineLevel="0" collapsed="false">
      <c r="A18" s="10" t="s">
        <v>683</v>
      </c>
    </row>
    <row r="19" customFormat="false" ht="15" hidden="false" customHeight="true" outlineLevel="0" collapsed="false">
      <c r="A19" s="10" t="s">
        <v>665</v>
      </c>
      <c r="B19" s="10" t="s">
        <v>684</v>
      </c>
    </row>
    <row r="20" customFormat="false" ht="27.75" hidden="false" customHeight="true" outlineLevel="0" collapsed="false">
      <c r="A20" s="10" t="s">
        <v>206</v>
      </c>
      <c r="B20" s="10" t="s">
        <v>685</v>
      </c>
    </row>
    <row r="22" customFormat="false" ht="15" hidden="false" customHeight="true" outlineLevel="0" collapsed="false">
      <c r="A22" s="10" t="s">
        <v>686</v>
      </c>
    </row>
    <row r="23" customFormat="false" ht="27.75" hidden="false" customHeight="true" outlineLevel="0" collapsed="false">
      <c r="A23" s="10" t="s">
        <v>687</v>
      </c>
      <c r="B23" s="10" t="s">
        <v>688</v>
      </c>
      <c r="C23" s="10" t="s">
        <v>689</v>
      </c>
    </row>
    <row r="24" customFormat="false" ht="41.25" hidden="false" customHeight="true" outlineLevel="0" collapsed="false">
      <c r="A24" s="10" t="s">
        <v>690</v>
      </c>
      <c r="B24" s="10" t="s">
        <v>691</v>
      </c>
      <c r="C24" s="10" t="s">
        <v>692</v>
      </c>
    </row>
    <row r="25" customFormat="false" ht="27.75" hidden="false" customHeight="true" outlineLevel="0" collapsed="false">
      <c r="A25" s="10" t="s">
        <v>693</v>
      </c>
      <c r="B25" s="10" t="s">
        <v>694</v>
      </c>
      <c r="C25" s="10" t="s">
        <v>695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A441"/>
    <pageSetUpPr fitToPage="false"/>
  </sheetPr>
  <dimension ref="A1:I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1" width="42"/>
    <col collapsed="false" customWidth="true" hidden="false" outlineLevel="0" max="3" min="3" style="1" width="21"/>
    <col collapsed="false" customWidth="true" hidden="false" outlineLevel="0" max="4" min="4" style="1" width="18"/>
    <col collapsed="false" customWidth="true" hidden="false" outlineLevel="0" max="5" min="5" style="1" width="20"/>
    <col collapsed="false" customWidth="true" hidden="false" outlineLevel="0" max="6" min="6" style="1" width="24"/>
    <col collapsed="false" customWidth="true" hidden="false" outlineLevel="0" max="8" min="7" style="1" width="19"/>
    <col collapsed="false" customWidth="true" hidden="false" outlineLevel="0" max="9" min="9" style="1" width="10"/>
  </cols>
  <sheetData>
    <row r="1" customFormat="false" ht="19.5" hidden="false" customHeight="true" outlineLevel="0" collapsed="false">
      <c r="A1" s="32" t="s">
        <v>696</v>
      </c>
      <c r="B1" s="32"/>
      <c r="C1" s="32"/>
      <c r="D1" s="32"/>
      <c r="E1" s="32"/>
      <c r="F1" s="32"/>
      <c r="G1" s="32"/>
      <c r="H1" s="32"/>
      <c r="I1" s="32"/>
    </row>
    <row r="2" customFormat="false" ht="15" hidden="false" customHeight="true" outlineLevel="0" collapsed="false">
      <c r="A2" s="33" t="s">
        <v>697</v>
      </c>
      <c r="B2" s="33"/>
      <c r="C2" s="33"/>
      <c r="D2" s="33"/>
      <c r="E2" s="33"/>
      <c r="F2" s="33"/>
      <c r="G2" s="33"/>
      <c r="H2" s="33"/>
      <c r="I2" s="33"/>
    </row>
    <row r="3" customFormat="false" ht="15" hidden="false" customHeight="true" outlineLevel="0" collapsed="false">
      <c r="A3" s="36" t="s">
        <v>698</v>
      </c>
      <c r="B3" s="36" t="s">
        <v>699</v>
      </c>
      <c r="C3" s="36" t="s">
        <v>634</v>
      </c>
      <c r="D3" s="36" t="s">
        <v>700</v>
      </c>
      <c r="E3" s="36" t="s">
        <v>701</v>
      </c>
      <c r="F3" s="36" t="s">
        <v>702</v>
      </c>
      <c r="G3" s="36" t="s">
        <v>703</v>
      </c>
      <c r="H3" s="36" t="s">
        <v>619</v>
      </c>
    </row>
    <row r="4" customFormat="false" ht="15" hidden="false" customHeight="true" outlineLevel="0" collapsed="false">
      <c r="A4" s="10" t="s">
        <v>704</v>
      </c>
      <c r="B4" s="10" t="s">
        <v>705</v>
      </c>
      <c r="C4" s="35"/>
      <c r="D4" s="35"/>
      <c r="E4" s="35"/>
      <c r="F4" s="35"/>
      <c r="G4" s="35"/>
      <c r="H4" s="35"/>
    </row>
    <row r="5" customFormat="false" ht="27.75" hidden="false" customHeight="true" outlineLevel="0" collapsed="false">
      <c r="A5" s="10" t="s">
        <v>706</v>
      </c>
      <c r="B5" s="10" t="s">
        <v>707</v>
      </c>
      <c r="C5" s="35"/>
      <c r="D5" s="35"/>
      <c r="E5" s="35"/>
      <c r="F5" s="35"/>
      <c r="G5" s="35"/>
      <c r="H5" s="35"/>
    </row>
    <row r="6" customFormat="false" ht="27.75" hidden="false" customHeight="true" outlineLevel="0" collapsed="false">
      <c r="A6" s="10" t="s">
        <v>708</v>
      </c>
      <c r="B6" s="10" t="s">
        <v>709</v>
      </c>
      <c r="C6" s="35"/>
      <c r="D6" s="35"/>
      <c r="E6" s="35"/>
      <c r="F6" s="35"/>
      <c r="G6" s="35"/>
      <c r="H6" s="35"/>
    </row>
    <row r="7" customFormat="false" ht="27.75" hidden="false" customHeight="true" outlineLevel="0" collapsed="false">
      <c r="A7" s="10" t="s">
        <v>710</v>
      </c>
      <c r="B7" s="10" t="s">
        <v>711</v>
      </c>
      <c r="C7" s="35"/>
      <c r="D7" s="35"/>
      <c r="E7" s="35"/>
      <c r="F7" s="35"/>
      <c r="G7" s="35"/>
      <c r="H7" s="35"/>
    </row>
    <row r="8" customFormat="false" ht="27.75" hidden="false" customHeight="true" outlineLevel="0" collapsed="false">
      <c r="A8" s="10" t="s">
        <v>712</v>
      </c>
      <c r="B8" s="10" t="s">
        <v>713</v>
      </c>
      <c r="C8" s="35"/>
      <c r="D8" s="35"/>
      <c r="E8" s="35"/>
      <c r="F8" s="35"/>
      <c r="G8" s="35"/>
      <c r="H8" s="35"/>
    </row>
    <row r="9" customFormat="false" ht="27.75" hidden="false" customHeight="true" outlineLevel="0" collapsed="false">
      <c r="A9" s="10" t="s">
        <v>714</v>
      </c>
      <c r="B9" s="10" t="s">
        <v>715</v>
      </c>
      <c r="C9" s="35"/>
      <c r="D9" s="35"/>
      <c r="E9" s="35"/>
      <c r="F9" s="35"/>
      <c r="G9" s="35"/>
      <c r="H9" s="35"/>
    </row>
    <row r="10" customFormat="false" ht="27.75" hidden="false" customHeight="true" outlineLevel="0" collapsed="false">
      <c r="A10" s="10" t="s">
        <v>716</v>
      </c>
      <c r="B10" s="10" t="s">
        <v>717</v>
      </c>
      <c r="C10" s="35"/>
      <c r="D10" s="35"/>
      <c r="E10" s="35"/>
      <c r="F10" s="35"/>
      <c r="G10" s="35"/>
      <c r="H10" s="35"/>
    </row>
    <row r="11" customFormat="false" ht="27.75" hidden="false" customHeight="true" outlineLevel="0" collapsed="false">
      <c r="A11" s="10" t="s">
        <v>718</v>
      </c>
      <c r="B11" s="10" t="s">
        <v>719</v>
      </c>
      <c r="C11" s="35"/>
      <c r="D11" s="35"/>
      <c r="E11" s="35"/>
      <c r="F11" s="35"/>
      <c r="G11" s="35"/>
      <c r="H11" s="35"/>
    </row>
    <row r="12" customFormat="false" ht="27.75" hidden="false" customHeight="true" outlineLevel="0" collapsed="false">
      <c r="A12" s="10" t="s">
        <v>720</v>
      </c>
      <c r="B12" s="10" t="s">
        <v>721</v>
      </c>
      <c r="C12" s="35"/>
      <c r="D12" s="35"/>
      <c r="E12" s="35"/>
      <c r="F12" s="35"/>
      <c r="G12" s="35"/>
      <c r="H12" s="35"/>
    </row>
    <row r="13" customFormat="false" ht="27.75" hidden="false" customHeight="true" outlineLevel="0" collapsed="false">
      <c r="A13" s="10" t="s">
        <v>722</v>
      </c>
      <c r="B13" s="10" t="s">
        <v>723</v>
      </c>
      <c r="C13" s="35"/>
      <c r="D13" s="35"/>
      <c r="E13" s="35"/>
      <c r="F13" s="35"/>
      <c r="G13" s="35"/>
      <c r="H13" s="35"/>
    </row>
    <row r="14" customFormat="false" ht="27.75" hidden="false" customHeight="true" outlineLevel="0" collapsed="false"/>
  </sheetData>
  <autoFilter ref="A4:I14"/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5F"/>
    <pageSetUpPr fitToPage="false"/>
  </sheetPr>
  <dimension ref="A1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38"/>
    <col collapsed="false" customWidth="true" hidden="false" outlineLevel="0" max="3" min="3" style="1" width="42"/>
    <col collapsed="false" customWidth="true" hidden="false" outlineLevel="0" max="4" min="4" style="1" width="30"/>
    <col collapsed="false" customWidth="true" hidden="false" outlineLevel="0" max="5" min="5" style="1" width="13"/>
    <col collapsed="false" customWidth="true" hidden="false" outlineLevel="0" max="6" min="6" style="1" width="37"/>
    <col collapsed="false" customWidth="true" hidden="false" outlineLevel="0" max="7" min="7" style="1" width="42"/>
  </cols>
  <sheetData>
    <row r="1" customFormat="false" ht="19.5" hidden="false" customHeight="true" outlineLevel="0" collapsed="false">
      <c r="A1" s="32" t="s">
        <v>724</v>
      </c>
      <c r="B1" s="32"/>
      <c r="C1" s="32"/>
      <c r="D1" s="32"/>
      <c r="E1" s="32"/>
      <c r="F1" s="32"/>
      <c r="G1" s="32"/>
    </row>
    <row r="2" customFormat="false" ht="15" hidden="false" customHeight="true" outlineLevel="0" collapsed="false">
      <c r="A2" s="33" t="s">
        <v>725</v>
      </c>
      <c r="B2" s="33"/>
      <c r="C2" s="33"/>
      <c r="D2" s="33"/>
      <c r="E2" s="33"/>
      <c r="F2" s="33"/>
      <c r="G2" s="33"/>
    </row>
    <row r="4" customFormat="false" ht="15" hidden="false" customHeight="true" outlineLevel="0" collapsed="false">
      <c r="A4" s="34" t="s">
        <v>726</v>
      </c>
      <c r="B4" s="34" t="s">
        <v>727</v>
      </c>
      <c r="C4" s="34" t="s">
        <v>728</v>
      </c>
      <c r="D4" s="34" t="s">
        <v>572</v>
      </c>
      <c r="E4" s="34" t="s">
        <v>323</v>
      </c>
      <c r="F4" s="34" t="s">
        <v>703</v>
      </c>
      <c r="G4" s="34" t="s">
        <v>619</v>
      </c>
    </row>
    <row r="5" customFormat="false" ht="15" hidden="false" customHeight="true" outlineLevel="0" collapsed="false">
      <c r="A5" s="10" t="s">
        <v>729</v>
      </c>
      <c r="B5" s="10" t="s">
        <v>730</v>
      </c>
      <c r="C5" s="10" t="s">
        <v>731</v>
      </c>
      <c r="D5" s="10" t="s">
        <v>732</v>
      </c>
      <c r="E5" s="10" t="s">
        <v>215</v>
      </c>
      <c r="F5" s="10" t="s">
        <v>733</v>
      </c>
      <c r="G5" s="10" t="s">
        <v>734</v>
      </c>
    </row>
    <row r="6" customFormat="false" ht="27.75" hidden="false" customHeight="true" outlineLevel="0" collapsed="false">
      <c r="A6" s="10" t="s">
        <v>735</v>
      </c>
      <c r="B6" s="10" t="s">
        <v>736</v>
      </c>
      <c r="C6" s="10" t="s">
        <v>737</v>
      </c>
      <c r="D6" s="10" t="s">
        <v>732</v>
      </c>
      <c r="E6" s="10" t="s">
        <v>215</v>
      </c>
      <c r="F6" s="10" t="s">
        <v>738</v>
      </c>
      <c r="G6" s="10" t="s">
        <v>739</v>
      </c>
    </row>
    <row r="7" customFormat="false" ht="15" hidden="false" customHeight="true" outlineLevel="0" collapsed="false">
      <c r="A7" s="10" t="s">
        <v>740</v>
      </c>
      <c r="B7" s="10" t="s">
        <v>741</v>
      </c>
      <c r="C7" s="10" t="s">
        <v>742</v>
      </c>
      <c r="D7" s="10" t="s">
        <v>743</v>
      </c>
      <c r="E7" s="10" t="s">
        <v>215</v>
      </c>
      <c r="F7" s="10" t="s">
        <v>744</v>
      </c>
      <c r="G7" s="10" t="s">
        <v>745</v>
      </c>
    </row>
    <row r="8" customFormat="false" ht="27.75" hidden="false" customHeight="true" outlineLevel="0" collapsed="false">
      <c r="A8" s="10" t="s">
        <v>746</v>
      </c>
      <c r="B8" s="10" t="s">
        <v>747</v>
      </c>
      <c r="C8" s="10" t="s">
        <v>748</v>
      </c>
      <c r="D8" s="10" t="s">
        <v>749</v>
      </c>
      <c r="E8" s="10" t="s">
        <v>215</v>
      </c>
      <c r="F8" s="10" t="s">
        <v>750</v>
      </c>
      <c r="G8" s="10" t="s">
        <v>751</v>
      </c>
    </row>
    <row r="9" customFormat="false" ht="15" hidden="false" customHeight="true" outlineLevel="0" collapsed="false">
      <c r="A9" s="10" t="s">
        <v>752</v>
      </c>
      <c r="B9" s="10" t="s">
        <v>753</v>
      </c>
      <c r="C9" s="10" t="s">
        <v>754</v>
      </c>
      <c r="D9" s="10" t="s">
        <v>732</v>
      </c>
      <c r="E9" s="10" t="s">
        <v>215</v>
      </c>
      <c r="F9" s="10" t="s">
        <v>755</v>
      </c>
      <c r="G9" s="10" t="s">
        <v>756</v>
      </c>
    </row>
    <row r="10" customFormat="false" ht="15" hidden="false" customHeight="true" outlineLevel="0" collapsed="false">
      <c r="A10" s="10" t="s">
        <v>757</v>
      </c>
      <c r="B10" s="10" t="s">
        <v>175</v>
      </c>
      <c r="C10" s="10" t="s">
        <v>758</v>
      </c>
      <c r="D10" s="10" t="s">
        <v>759</v>
      </c>
      <c r="E10" s="10" t="s">
        <v>215</v>
      </c>
      <c r="F10" s="10" t="s">
        <v>760</v>
      </c>
      <c r="G10" s="10" t="s">
        <v>761</v>
      </c>
    </row>
    <row r="11" customFormat="false" ht="27.75" hidden="false" customHeight="true" outlineLevel="0" collapsed="false">
      <c r="A11" s="10" t="s">
        <v>762</v>
      </c>
      <c r="B11" s="10" t="s">
        <v>763</v>
      </c>
      <c r="C11" s="10" t="s">
        <v>764</v>
      </c>
      <c r="D11" s="10" t="s">
        <v>732</v>
      </c>
      <c r="E11" s="10" t="s">
        <v>215</v>
      </c>
      <c r="F11" s="10" t="s">
        <v>765</v>
      </c>
      <c r="G11" s="10" t="s">
        <v>766</v>
      </c>
    </row>
    <row r="12" customFormat="false" ht="27.75" hidden="false" customHeight="true" outlineLevel="0" collapsed="false">
      <c r="A12" s="10" t="s">
        <v>767</v>
      </c>
      <c r="B12" s="10" t="s">
        <v>768</v>
      </c>
      <c r="C12" s="10" t="s">
        <v>769</v>
      </c>
      <c r="D12" s="10" t="s">
        <v>770</v>
      </c>
      <c r="E12" s="10" t="s">
        <v>215</v>
      </c>
      <c r="F12" s="10" t="s">
        <v>771</v>
      </c>
      <c r="G12" s="10" t="s">
        <v>772</v>
      </c>
    </row>
    <row r="13" customFormat="false" ht="15" hidden="false" customHeight="true" outlineLevel="0" collapsed="false">
      <c r="A13" s="10" t="s">
        <v>773</v>
      </c>
      <c r="B13" s="10" t="s">
        <v>774</v>
      </c>
      <c r="C13" s="10" t="s">
        <v>775</v>
      </c>
      <c r="D13" s="10" t="s">
        <v>776</v>
      </c>
      <c r="E13" s="10" t="s">
        <v>215</v>
      </c>
      <c r="F13" s="10" t="s">
        <v>777</v>
      </c>
      <c r="G13" s="10" t="s">
        <v>778</v>
      </c>
    </row>
    <row r="14" customFormat="false" ht="27.75" hidden="false" customHeight="true" outlineLevel="0" collapsed="false">
      <c r="A14" s="10" t="s">
        <v>779</v>
      </c>
      <c r="B14" s="10" t="s">
        <v>780</v>
      </c>
      <c r="C14" s="10" t="s">
        <v>781</v>
      </c>
      <c r="D14" s="10" t="s">
        <v>732</v>
      </c>
      <c r="E14" s="10" t="s">
        <v>215</v>
      </c>
      <c r="F14" s="10" t="s">
        <v>782</v>
      </c>
      <c r="G14" s="10" t="s">
        <v>783</v>
      </c>
    </row>
  </sheetData>
  <mergeCells count="2">
    <mergeCell ref="A1:G1"/>
    <mergeCell ref="A2:G2"/>
  </mergeCells>
  <dataValidations count="1">
    <dataValidation allowBlank="true" errorStyle="stop" operator="between" showDropDown="false" showErrorMessage="false" showInputMessage="false" sqref="E5:E14" type="list">
      <formula1>"Not started,In progress,Waiting on someone,Complete"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8B2AC"/>
    <pageSetUpPr fitToPage="false"/>
  </sheetPr>
  <dimension ref="A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26"/>
    <col collapsed="false" customWidth="true" hidden="false" outlineLevel="0" max="3" min="3" style="1" width="42"/>
    <col collapsed="false" customWidth="true" hidden="false" outlineLevel="0" max="4" min="4" style="1" width="15"/>
    <col collapsed="false" customWidth="true" hidden="false" outlineLevel="0" max="5" min="5" style="1" width="36"/>
  </cols>
  <sheetData>
    <row r="1" customFormat="false" ht="19.5" hidden="false" customHeight="true" outlineLevel="0" collapsed="false">
      <c r="A1" s="32" t="s">
        <v>784</v>
      </c>
      <c r="B1" s="32"/>
      <c r="C1" s="32"/>
      <c r="D1" s="32"/>
      <c r="E1" s="32"/>
    </row>
    <row r="2" customFormat="false" ht="15" hidden="false" customHeight="true" outlineLevel="0" collapsed="false">
      <c r="A2" s="33" t="s">
        <v>785</v>
      </c>
      <c r="B2" s="33"/>
      <c r="C2" s="33"/>
      <c r="D2" s="33"/>
      <c r="E2" s="33"/>
    </row>
    <row r="4" customFormat="false" ht="15" hidden="false" customHeight="true" outlineLevel="0" collapsed="false">
      <c r="A4" s="34" t="s">
        <v>786</v>
      </c>
      <c r="B4" s="34" t="s">
        <v>787</v>
      </c>
      <c r="C4" s="34" t="s">
        <v>788</v>
      </c>
      <c r="D4" s="34" t="s">
        <v>789</v>
      </c>
      <c r="E4" s="34" t="s">
        <v>790</v>
      </c>
    </row>
    <row r="5" customFormat="false" ht="27.75" hidden="false" customHeight="true" outlineLevel="0" collapsed="false">
      <c r="A5" s="10" t="s">
        <v>791</v>
      </c>
      <c r="B5" s="10" t="s">
        <v>656</v>
      </c>
      <c r="C5" s="10" t="s">
        <v>792</v>
      </c>
      <c r="D5" s="35"/>
      <c r="E5" s="10" t="s">
        <v>793</v>
      </c>
    </row>
    <row r="6" customFormat="false" ht="27.75" hidden="false" customHeight="true" outlineLevel="0" collapsed="false">
      <c r="A6" s="10" t="s">
        <v>791</v>
      </c>
      <c r="B6" s="10" t="s">
        <v>22</v>
      </c>
      <c r="C6" s="10" t="s">
        <v>794</v>
      </c>
      <c r="D6" s="35"/>
      <c r="E6" s="10" t="s">
        <v>793</v>
      </c>
    </row>
    <row r="7" customFormat="false" ht="15" hidden="false" customHeight="true" outlineLevel="0" collapsed="false">
      <c r="A7" s="10" t="s">
        <v>795</v>
      </c>
      <c r="B7" s="10" t="s">
        <v>796</v>
      </c>
      <c r="C7" s="10" t="s">
        <v>797</v>
      </c>
      <c r="D7" s="35"/>
      <c r="E7" s="10" t="s">
        <v>798</v>
      </c>
    </row>
    <row r="8" customFormat="false" ht="15" hidden="false" customHeight="true" outlineLevel="0" collapsed="false">
      <c r="A8" s="10" t="s">
        <v>795</v>
      </c>
      <c r="B8" s="10" t="s">
        <v>799</v>
      </c>
      <c r="C8" s="10" t="s">
        <v>797</v>
      </c>
      <c r="D8" s="35"/>
      <c r="E8" s="10" t="s">
        <v>798</v>
      </c>
    </row>
    <row r="9" customFormat="false" ht="15" hidden="false" customHeight="true" outlineLevel="0" collapsed="false">
      <c r="A9" s="10" t="s">
        <v>800</v>
      </c>
      <c r="B9" s="10" t="s">
        <v>801</v>
      </c>
      <c r="C9" s="10" t="s">
        <v>802</v>
      </c>
      <c r="D9" s="35"/>
      <c r="E9" s="10" t="s">
        <v>247</v>
      </c>
    </row>
    <row r="10" customFormat="false" ht="15" hidden="false" customHeight="true" outlineLevel="0" collapsed="false">
      <c r="A10" s="10" t="s">
        <v>803</v>
      </c>
      <c r="B10" s="10" t="s">
        <v>804</v>
      </c>
      <c r="C10" s="10" t="s">
        <v>805</v>
      </c>
      <c r="D10" s="35"/>
      <c r="E10" s="10" t="s">
        <v>806</v>
      </c>
    </row>
    <row r="11" customFormat="false" ht="15" hidden="false" customHeight="true" outlineLevel="0" collapsed="false">
      <c r="A11" s="10" t="s">
        <v>807</v>
      </c>
      <c r="B11" s="10" t="s">
        <v>808</v>
      </c>
      <c r="C11" s="10" t="s">
        <v>809</v>
      </c>
      <c r="D11" s="10" t="s">
        <v>810</v>
      </c>
      <c r="E11" s="10" t="s">
        <v>811</v>
      </c>
    </row>
    <row r="12" customFormat="false" ht="27.75" hidden="false" customHeight="true" outlineLevel="0" collapsed="false">
      <c r="A12" s="10" t="s">
        <v>812</v>
      </c>
      <c r="B12" s="10" t="s">
        <v>813</v>
      </c>
      <c r="C12" s="10" t="s">
        <v>814</v>
      </c>
      <c r="D12" s="35"/>
      <c r="E12" s="10" t="s">
        <v>798</v>
      </c>
    </row>
    <row r="13" customFormat="false" ht="15" hidden="false" customHeight="true" outlineLevel="0" collapsed="false">
      <c r="A13" s="10" t="s">
        <v>815</v>
      </c>
      <c r="B13" s="10" t="s">
        <v>816</v>
      </c>
      <c r="C13" s="10" t="s">
        <v>817</v>
      </c>
      <c r="D13" s="35"/>
      <c r="E13" s="10" t="s">
        <v>818</v>
      </c>
    </row>
    <row r="14" customFormat="false" ht="15" hidden="false" customHeight="true" outlineLevel="0" collapsed="false">
      <c r="A14" s="10" t="s">
        <v>819</v>
      </c>
      <c r="B14" s="10" t="s">
        <v>323</v>
      </c>
      <c r="C14" s="10" t="s">
        <v>820</v>
      </c>
      <c r="D14" s="35"/>
      <c r="E14" s="10" t="s">
        <v>798</v>
      </c>
    </row>
    <row r="15" customFormat="false" ht="15" hidden="false" customHeight="true" outlineLevel="0" collapsed="false">
      <c r="A15" s="10" t="s">
        <v>821</v>
      </c>
      <c r="B15" s="10" t="s">
        <v>822</v>
      </c>
      <c r="C15" s="10" t="s">
        <v>823</v>
      </c>
      <c r="D15" s="35"/>
      <c r="E15" s="10" t="s">
        <v>798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A441"/>
    <pageSetUpPr fitToPage="false"/>
  </sheetPr>
  <dimension ref="A1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25"/>
    <col collapsed="false" customWidth="true" hidden="false" outlineLevel="0" max="3" min="3" style="1" width="22"/>
    <col collapsed="false" customWidth="true" hidden="false" outlineLevel="0" max="6" min="4" style="1" width="42"/>
  </cols>
  <sheetData>
    <row r="1" customFormat="false" ht="19.5" hidden="false" customHeight="true" outlineLevel="0" collapsed="false">
      <c r="A1" s="32" t="s">
        <v>824</v>
      </c>
      <c r="B1" s="32"/>
      <c r="C1" s="32"/>
      <c r="D1" s="32"/>
      <c r="E1" s="32"/>
      <c r="F1" s="32"/>
    </row>
    <row r="2" customFormat="false" ht="15" hidden="false" customHeight="true" outlineLevel="0" collapsed="false">
      <c r="A2" s="33" t="s">
        <v>825</v>
      </c>
      <c r="B2" s="33"/>
      <c r="C2" s="33"/>
      <c r="D2" s="33"/>
      <c r="E2" s="33"/>
      <c r="F2" s="33"/>
    </row>
    <row r="4" customFormat="false" ht="15" hidden="false" customHeight="true" outlineLevel="0" collapsed="false">
      <c r="A4" s="34" t="s">
        <v>826</v>
      </c>
      <c r="B4" s="34" t="s">
        <v>570</v>
      </c>
      <c r="C4" s="34" t="s">
        <v>827</v>
      </c>
      <c r="D4" s="34" t="s">
        <v>828</v>
      </c>
      <c r="E4" s="34" t="s">
        <v>829</v>
      </c>
      <c r="F4" s="34" t="s">
        <v>830</v>
      </c>
    </row>
    <row r="5" customFormat="false" ht="27.75" hidden="false" customHeight="true" outlineLevel="0" collapsed="false">
      <c r="A5" s="10" t="s">
        <v>831</v>
      </c>
      <c r="B5" s="10" t="s">
        <v>832</v>
      </c>
      <c r="C5" s="10" t="s">
        <v>833</v>
      </c>
      <c r="D5" s="10" t="s">
        <v>834</v>
      </c>
      <c r="E5" s="10" t="s">
        <v>835</v>
      </c>
      <c r="F5" s="10" t="s">
        <v>836</v>
      </c>
    </row>
    <row r="6" customFormat="false" ht="27.75" hidden="false" customHeight="true" outlineLevel="0" collapsed="false">
      <c r="A6" s="10" t="s">
        <v>837</v>
      </c>
      <c r="B6" s="10" t="s">
        <v>838</v>
      </c>
      <c r="C6" s="10" t="s">
        <v>839</v>
      </c>
      <c r="D6" s="10" t="s">
        <v>840</v>
      </c>
      <c r="E6" s="10" t="s">
        <v>841</v>
      </c>
      <c r="F6" s="10" t="s">
        <v>842</v>
      </c>
    </row>
    <row r="7" customFormat="false" ht="27.75" hidden="false" customHeight="true" outlineLevel="0" collapsed="false">
      <c r="A7" s="10" t="s">
        <v>843</v>
      </c>
      <c r="B7" s="10" t="s">
        <v>844</v>
      </c>
      <c r="C7" s="10" t="s">
        <v>845</v>
      </c>
      <c r="D7" s="10" t="s">
        <v>846</v>
      </c>
      <c r="E7" s="10" t="s">
        <v>847</v>
      </c>
      <c r="F7" s="10" t="s">
        <v>848</v>
      </c>
    </row>
    <row r="8" customFormat="false" ht="27.75" hidden="false" customHeight="true" outlineLevel="0" collapsed="false">
      <c r="A8" s="10" t="s">
        <v>849</v>
      </c>
      <c r="B8" s="10" t="s">
        <v>850</v>
      </c>
      <c r="C8" s="10" t="s">
        <v>851</v>
      </c>
      <c r="D8" s="10" t="s">
        <v>852</v>
      </c>
      <c r="E8" s="10" t="s">
        <v>853</v>
      </c>
      <c r="F8" s="10" t="s">
        <v>854</v>
      </c>
    </row>
    <row r="9" customFormat="false" ht="15" hidden="false" customHeight="true" outlineLevel="0" collapsed="false">
      <c r="A9" s="10" t="s">
        <v>855</v>
      </c>
      <c r="B9" s="10" t="s">
        <v>856</v>
      </c>
      <c r="C9" s="10" t="s">
        <v>857</v>
      </c>
      <c r="D9" s="10" t="s">
        <v>858</v>
      </c>
      <c r="E9" s="10" t="s">
        <v>859</v>
      </c>
      <c r="F9" s="10" t="s">
        <v>860</v>
      </c>
    </row>
    <row r="10" customFormat="false" ht="15" hidden="false" customHeight="true" outlineLevel="0" collapsed="false">
      <c r="A10" s="10" t="s">
        <v>861</v>
      </c>
      <c r="B10" s="10" t="s">
        <v>862</v>
      </c>
      <c r="C10" s="10" t="s">
        <v>863</v>
      </c>
      <c r="D10" s="10" t="s">
        <v>864</v>
      </c>
      <c r="E10" s="10" t="s">
        <v>865</v>
      </c>
      <c r="F10" s="10" t="s">
        <v>866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5F"/>
    <pageSetUpPr fitToPage="false"/>
  </sheetPr>
  <dimension ref="A1:G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6"/>
    <col collapsed="false" customWidth="true" hidden="false" outlineLevel="0" max="3" min="3" style="1" width="12"/>
    <col collapsed="false" customWidth="true" hidden="false" outlineLevel="0" max="4" min="4" style="1" width="17"/>
    <col collapsed="false" customWidth="true" hidden="false" outlineLevel="0" max="6" min="5" style="1" width="13"/>
    <col collapsed="false" customWidth="true" hidden="false" outlineLevel="0" max="7" min="7" style="1" width="42"/>
  </cols>
  <sheetData>
    <row r="1" customFormat="false" ht="19.5" hidden="false" customHeight="true" outlineLevel="0" collapsed="false">
      <c r="A1" s="32" t="s">
        <v>867</v>
      </c>
      <c r="B1" s="32"/>
      <c r="C1" s="32"/>
      <c r="D1" s="32"/>
      <c r="E1" s="32"/>
      <c r="F1" s="32"/>
      <c r="G1" s="32"/>
    </row>
    <row r="2" customFormat="false" ht="15" hidden="false" customHeight="true" outlineLevel="0" collapsed="false">
      <c r="A2" s="33" t="s">
        <v>868</v>
      </c>
      <c r="B2" s="33"/>
      <c r="C2" s="33"/>
      <c r="D2" s="33"/>
      <c r="E2" s="33"/>
      <c r="F2" s="33"/>
      <c r="G2" s="33"/>
    </row>
    <row r="4" customFormat="false" ht="15" hidden="false" customHeight="true" outlineLevel="0" collapsed="false">
      <c r="A4" s="34" t="s">
        <v>869</v>
      </c>
      <c r="B4" s="34" t="s">
        <v>656</v>
      </c>
      <c r="C4" s="34" t="s">
        <v>170</v>
      </c>
      <c r="D4" s="34" t="s">
        <v>870</v>
      </c>
      <c r="E4" s="34" t="s">
        <v>871</v>
      </c>
      <c r="F4" s="34" t="s">
        <v>872</v>
      </c>
      <c r="G4" s="34" t="s">
        <v>234</v>
      </c>
    </row>
    <row r="5" customFormat="false" ht="15" hidden="false" customHeight="true" outlineLevel="0" collapsed="false">
      <c r="A5" s="10" t="s">
        <v>873</v>
      </c>
      <c r="B5" s="10" t="s">
        <v>209</v>
      </c>
      <c r="C5" s="10" t="s">
        <v>210</v>
      </c>
      <c r="D5" s="10" t="s">
        <v>180</v>
      </c>
      <c r="E5" s="10" t="s">
        <v>183</v>
      </c>
      <c r="F5" s="10" t="s">
        <v>874</v>
      </c>
      <c r="G5" s="10" t="s">
        <v>875</v>
      </c>
    </row>
    <row r="6" customFormat="false" ht="15" hidden="false" customHeight="true" outlineLevel="0" collapsed="false">
      <c r="A6" s="10" t="s">
        <v>876</v>
      </c>
      <c r="B6" s="10" t="s">
        <v>213</v>
      </c>
      <c r="C6" s="10" t="s">
        <v>179</v>
      </c>
      <c r="D6" s="10" t="s">
        <v>214</v>
      </c>
      <c r="E6" s="10" t="s">
        <v>215</v>
      </c>
      <c r="F6" s="10" t="s">
        <v>877</v>
      </c>
      <c r="G6" s="10" t="s">
        <v>878</v>
      </c>
    </row>
    <row r="7" customFormat="false" ht="15" hidden="false" customHeight="true" outlineLevel="0" collapsed="false">
      <c r="A7" s="10" t="s">
        <v>879</v>
      </c>
      <c r="B7" s="10" t="s">
        <v>221</v>
      </c>
      <c r="C7" s="10" t="s">
        <v>179</v>
      </c>
      <c r="D7" s="10" t="s">
        <v>180</v>
      </c>
      <c r="E7" s="10" t="s">
        <v>183</v>
      </c>
      <c r="F7" s="10" t="s">
        <v>880</v>
      </c>
      <c r="G7" s="10" t="s">
        <v>881</v>
      </c>
    </row>
  </sheetData>
  <autoFilter ref="A4:G7"/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8B2AC"/>
    <pageSetUpPr fitToPage="false"/>
  </sheetPr>
  <dimension ref="A1:H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7"/>
    <col collapsed="false" customWidth="true" hidden="false" outlineLevel="0" max="3" min="3" style="1" width="12"/>
    <col collapsed="false" customWidth="true" hidden="false" outlineLevel="0" max="5" min="4" style="1" width="17"/>
    <col collapsed="false" customWidth="true" hidden="false" outlineLevel="0" max="6" min="6" style="1" width="12"/>
    <col collapsed="false" customWidth="true" hidden="false" outlineLevel="0" max="7" min="7" style="1" width="36"/>
    <col collapsed="false" customWidth="true" hidden="false" outlineLevel="0" max="8" min="8" style="1" width="10"/>
  </cols>
  <sheetData>
    <row r="1" customFormat="false" ht="19.5" hidden="false" customHeight="true" outlineLevel="0" collapsed="false">
      <c r="A1" s="32" t="s">
        <v>882</v>
      </c>
      <c r="B1" s="32"/>
      <c r="C1" s="32"/>
      <c r="D1" s="32"/>
      <c r="E1" s="32"/>
      <c r="F1" s="32"/>
      <c r="G1" s="32"/>
      <c r="H1" s="32"/>
    </row>
    <row r="2" customFormat="false" ht="15" hidden="false" customHeight="true" outlineLevel="0" collapsed="false">
      <c r="A2" s="33" t="s">
        <v>883</v>
      </c>
      <c r="B2" s="33"/>
      <c r="C2" s="33"/>
      <c r="D2" s="33"/>
      <c r="E2" s="33"/>
      <c r="F2" s="33"/>
      <c r="G2" s="33"/>
      <c r="H2" s="33"/>
    </row>
    <row r="4" customFormat="false" ht="27.75" hidden="false" customHeight="true" outlineLevel="0" collapsed="false">
      <c r="A4" s="34" t="s">
        <v>869</v>
      </c>
      <c r="B4" s="34" t="s">
        <v>884</v>
      </c>
      <c r="C4" s="34" t="s">
        <v>170</v>
      </c>
      <c r="D4" s="34" t="s">
        <v>225</v>
      </c>
      <c r="E4" s="34" t="s">
        <v>885</v>
      </c>
      <c r="F4" s="34" t="s">
        <v>886</v>
      </c>
      <c r="G4" s="34" t="s">
        <v>887</v>
      </c>
      <c r="H4" s="37"/>
    </row>
    <row r="5" customFormat="false" ht="15" hidden="false" customHeight="true" outlineLevel="0" collapsed="false">
      <c r="A5" s="10" t="s">
        <v>888</v>
      </c>
      <c r="B5" s="10" t="s">
        <v>268</v>
      </c>
      <c r="C5" s="10" t="s">
        <v>179</v>
      </c>
      <c r="D5" s="10" t="s">
        <v>260</v>
      </c>
      <c r="E5" s="10" t="s">
        <v>889</v>
      </c>
      <c r="F5" s="10" t="s">
        <v>890</v>
      </c>
      <c r="G5" s="10" t="s">
        <v>891</v>
      </c>
      <c r="H5" s="35"/>
    </row>
    <row r="6" customFormat="false" ht="15" hidden="false" customHeight="true" outlineLevel="0" collapsed="false">
      <c r="A6" s="10" t="s">
        <v>892</v>
      </c>
      <c r="B6" s="10" t="s">
        <v>281</v>
      </c>
      <c r="C6" s="10" t="s">
        <v>210</v>
      </c>
      <c r="D6" s="10" t="s">
        <v>260</v>
      </c>
      <c r="E6" s="10" t="s">
        <v>893</v>
      </c>
      <c r="F6" s="10" t="s">
        <v>894</v>
      </c>
      <c r="G6" s="10" t="s">
        <v>895</v>
      </c>
      <c r="H6" s="35"/>
    </row>
    <row r="7" customFormat="false" ht="15" hidden="false" customHeight="true" outlineLevel="0" collapsed="false">
      <c r="A7" s="10" t="s">
        <v>896</v>
      </c>
      <c r="B7" s="10" t="s">
        <v>279</v>
      </c>
      <c r="C7" s="10" t="s">
        <v>210</v>
      </c>
      <c r="D7" s="10" t="s">
        <v>260</v>
      </c>
      <c r="E7" s="10" t="s">
        <v>889</v>
      </c>
      <c r="F7" s="10" t="s">
        <v>897</v>
      </c>
      <c r="G7" s="10" t="s">
        <v>891</v>
      </c>
      <c r="H7" s="35"/>
    </row>
    <row r="8" customFormat="false" ht="27.75" hidden="false" customHeight="true" outlineLevel="0" collapsed="false">
      <c r="A8" s="10" t="s">
        <v>898</v>
      </c>
      <c r="B8" s="10" t="s">
        <v>300</v>
      </c>
      <c r="C8" s="10" t="s">
        <v>179</v>
      </c>
      <c r="D8" s="10" t="s">
        <v>899</v>
      </c>
      <c r="E8" s="10" t="s">
        <v>900</v>
      </c>
      <c r="F8" s="10" t="s">
        <v>877</v>
      </c>
      <c r="G8" s="10" t="s">
        <v>877</v>
      </c>
      <c r="H8" s="35"/>
    </row>
  </sheetData>
  <autoFilter ref="A4:H8"/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A441"/>
    <pageSetUpPr fitToPage="false"/>
  </sheetPr>
  <dimension ref="A1:I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2"/>
    <col collapsed="false" customWidth="true" hidden="false" outlineLevel="0" max="4" min="2" style="1" width="16"/>
    <col collapsed="false" customWidth="true" hidden="false" outlineLevel="0" max="6" min="5" style="1" width="10"/>
    <col collapsed="false" customWidth="true" hidden="false" outlineLevel="0" max="8" min="7" style="1" width="12"/>
    <col collapsed="false" customWidth="true" hidden="false" outlineLevel="0" max="9" min="9" style="1" width="10"/>
  </cols>
  <sheetData>
    <row r="1" customFormat="false" ht="19.5" hidden="false" customHeight="true" outlineLevel="0" collapsed="false">
      <c r="A1" s="32" t="s">
        <v>901</v>
      </c>
      <c r="B1" s="32"/>
      <c r="C1" s="32"/>
      <c r="D1" s="32"/>
      <c r="E1" s="32"/>
      <c r="F1" s="32"/>
      <c r="G1" s="32"/>
      <c r="H1" s="32"/>
      <c r="I1" s="32"/>
    </row>
    <row r="2" customFormat="false" ht="15" hidden="false" customHeight="true" outlineLevel="0" collapsed="false">
      <c r="A2" s="33" t="s">
        <v>902</v>
      </c>
      <c r="B2" s="33"/>
      <c r="C2" s="33"/>
      <c r="D2" s="33"/>
      <c r="E2" s="33"/>
      <c r="F2" s="33"/>
      <c r="G2" s="33"/>
      <c r="H2" s="33"/>
      <c r="I2" s="33"/>
    </row>
    <row r="4" customFormat="false" ht="15" hidden="false" customHeight="true" outlineLevel="0" collapsed="false">
      <c r="A4" s="34" t="s">
        <v>903</v>
      </c>
      <c r="B4" s="34" t="s">
        <v>318</v>
      </c>
      <c r="C4" s="34" t="s">
        <v>321</v>
      </c>
      <c r="D4" s="34" t="s">
        <v>313</v>
      </c>
      <c r="E4" s="34" t="s">
        <v>315</v>
      </c>
      <c r="F4" s="34" t="s">
        <v>316</v>
      </c>
      <c r="G4" s="34" t="s">
        <v>170</v>
      </c>
      <c r="H4" s="34" t="s">
        <v>323</v>
      </c>
      <c r="I4" s="37"/>
    </row>
    <row r="5" customFormat="false" ht="15" hidden="false" customHeight="true" outlineLevel="0" collapsed="false">
      <c r="A5" s="10" t="s">
        <v>904</v>
      </c>
      <c r="B5" s="10" t="s">
        <v>208</v>
      </c>
      <c r="C5" s="10" t="s">
        <v>278</v>
      </c>
      <c r="D5" s="38" t="n">
        <v>46329</v>
      </c>
      <c r="E5" s="39" t="n">
        <v>0.375</v>
      </c>
      <c r="F5" s="39" t="n">
        <v>0.5</v>
      </c>
      <c r="G5" s="10" t="s">
        <v>210</v>
      </c>
      <c r="H5" s="10" t="s">
        <v>327</v>
      </c>
      <c r="I5" s="35"/>
    </row>
    <row r="6" customFormat="false" ht="15" hidden="false" customHeight="true" outlineLevel="0" collapsed="false">
      <c r="A6" s="10" t="s">
        <v>905</v>
      </c>
      <c r="B6" s="10" t="s">
        <v>220</v>
      </c>
      <c r="C6" s="10" t="s">
        <v>299</v>
      </c>
      <c r="D6" s="38" t="n">
        <v>46330</v>
      </c>
      <c r="E6" s="39" t="n">
        <v>0.541666666666667</v>
      </c>
      <c r="F6" s="39" t="n">
        <v>0.625</v>
      </c>
      <c r="G6" s="10" t="s">
        <v>179</v>
      </c>
      <c r="H6" s="10" t="s">
        <v>327</v>
      </c>
      <c r="I6" s="35"/>
    </row>
    <row r="7" customFormat="false" ht="15" hidden="false" customHeight="true" outlineLevel="0" collapsed="false">
      <c r="A7" s="10" t="s">
        <v>906</v>
      </c>
      <c r="B7" s="10" t="s">
        <v>184</v>
      </c>
      <c r="C7" s="10" t="s">
        <v>272</v>
      </c>
      <c r="D7" s="38" t="n">
        <v>46330</v>
      </c>
      <c r="E7" s="39" t="n">
        <v>0.416666666666667</v>
      </c>
      <c r="F7" s="39" t="n">
        <v>0.583333333333333</v>
      </c>
      <c r="G7" s="10" t="s">
        <v>179</v>
      </c>
      <c r="H7" s="10" t="s">
        <v>327</v>
      </c>
      <c r="I7" s="35"/>
    </row>
    <row r="8" customFormat="false" ht="15" hidden="false" customHeight="true" outlineLevel="0" collapsed="false">
      <c r="A8" s="10" t="s">
        <v>907</v>
      </c>
      <c r="B8" s="10" t="s">
        <v>200</v>
      </c>
      <c r="C8" s="10" t="s">
        <v>267</v>
      </c>
      <c r="D8" s="38" t="n">
        <v>46328</v>
      </c>
      <c r="E8" s="39" t="n">
        <v>0.5</v>
      </c>
      <c r="F8" s="39" t="n">
        <v>0.666666666666667</v>
      </c>
      <c r="G8" s="10" t="s">
        <v>179</v>
      </c>
      <c r="H8" s="10" t="s">
        <v>327</v>
      </c>
      <c r="I8" s="35"/>
    </row>
  </sheetData>
  <autoFilter ref="A4:I8"/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5F"/>
    <pageSetUpPr fitToPage="false"/>
  </sheetPr>
  <dimension ref="A1:I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6"/>
    <col collapsed="false" customWidth="true" hidden="false" outlineLevel="0" max="4" min="3" style="1" width="17"/>
    <col collapsed="false" customWidth="true" hidden="false" outlineLevel="0" max="9" min="5" style="1" width="10"/>
  </cols>
  <sheetData>
    <row r="1" customFormat="false" ht="19.5" hidden="false" customHeight="true" outlineLevel="0" collapsed="false">
      <c r="A1" s="32" t="s">
        <v>908</v>
      </c>
      <c r="B1" s="32"/>
      <c r="C1" s="32"/>
      <c r="D1" s="32"/>
      <c r="E1" s="32"/>
      <c r="F1" s="32"/>
      <c r="G1" s="32"/>
      <c r="H1" s="32"/>
      <c r="I1" s="32"/>
    </row>
    <row r="2" customFormat="false" ht="15" hidden="false" customHeight="true" outlineLevel="0" collapsed="false">
      <c r="A2" s="33" t="s">
        <v>909</v>
      </c>
      <c r="B2" s="33"/>
      <c r="C2" s="33"/>
      <c r="D2" s="33"/>
      <c r="E2" s="33"/>
      <c r="F2" s="33"/>
      <c r="G2" s="33"/>
      <c r="H2" s="33"/>
      <c r="I2" s="33"/>
    </row>
    <row r="4" customFormat="false" ht="27.75" hidden="false" customHeight="true" outlineLevel="0" collapsed="false">
      <c r="A4" s="34" t="s">
        <v>910</v>
      </c>
      <c r="B4" s="34" t="s">
        <v>318</v>
      </c>
      <c r="C4" s="34" t="s">
        <v>870</v>
      </c>
      <c r="D4" s="34" t="s">
        <v>911</v>
      </c>
      <c r="E4" s="34" t="s">
        <v>413</v>
      </c>
      <c r="F4" s="34" t="s">
        <v>912</v>
      </c>
      <c r="G4" s="34" t="s">
        <v>913</v>
      </c>
      <c r="H4" s="34" t="s">
        <v>323</v>
      </c>
      <c r="I4" s="37"/>
    </row>
    <row r="5" customFormat="false" ht="15" hidden="false" customHeight="true" outlineLevel="0" collapsed="false">
      <c r="A5" s="10" t="s">
        <v>914</v>
      </c>
      <c r="B5" s="10" t="s">
        <v>177</v>
      </c>
      <c r="C5" s="10" t="s">
        <v>180</v>
      </c>
      <c r="D5" s="10" t="s">
        <v>381</v>
      </c>
      <c r="E5" s="10" t="n">
        <v>2</v>
      </c>
      <c r="F5" s="10" t="n">
        <v>62</v>
      </c>
      <c r="G5" s="10" t="n">
        <f aca="false">E5*F5</f>
        <v>124</v>
      </c>
      <c r="H5" s="10" t="s">
        <v>915</v>
      </c>
      <c r="I5" s="35"/>
    </row>
    <row r="6" customFormat="false" ht="27.75" hidden="false" customHeight="true" outlineLevel="0" collapsed="false">
      <c r="A6" s="10" t="s">
        <v>916</v>
      </c>
      <c r="B6" s="10" t="s">
        <v>184</v>
      </c>
      <c r="C6" s="10" t="s">
        <v>186</v>
      </c>
      <c r="D6" s="10" t="s">
        <v>369</v>
      </c>
      <c r="E6" s="10" t="n">
        <v>4</v>
      </c>
      <c r="F6" s="10" t="n">
        <v>68</v>
      </c>
      <c r="G6" s="10" t="n">
        <f aca="false">E6*F6</f>
        <v>272</v>
      </c>
      <c r="H6" s="10" t="s">
        <v>819</v>
      </c>
      <c r="I6" s="35"/>
    </row>
    <row r="7" customFormat="false" ht="15" hidden="false" customHeight="true" outlineLevel="0" collapsed="false">
      <c r="A7" s="10" t="s">
        <v>917</v>
      </c>
      <c r="B7" s="10" t="s">
        <v>220</v>
      </c>
      <c r="C7" s="10" t="s">
        <v>180</v>
      </c>
      <c r="D7" s="10" t="s">
        <v>398</v>
      </c>
      <c r="E7" s="10" t="n">
        <v>1</v>
      </c>
      <c r="F7" s="10" t="n">
        <v>190</v>
      </c>
      <c r="G7" s="10" t="n">
        <f aca="false">E7*F7</f>
        <v>190</v>
      </c>
      <c r="H7" s="10" t="s">
        <v>819</v>
      </c>
      <c r="I7" s="35"/>
    </row>
    <row r="8" customFormat="false" ht="15" hidden="false" customHeight="true" outlineLevel="0" collapsed="false">
      <c r="A8" s="10" t="s">
        <v>918</v>
      </c>
      <c r="B8" s="10" t="s">
        <v>203</v>
      </c>
      <c r="C8" s="10" t="s">
        <v>180</v>
      </c>
      <c r="D8" s="10" t="s">
        <v>400</v>
      </c>
      <c r="E8" s="10" t="n">
        <v>1</v>
      </c>
      <c r="F8" s="10" t="n">
        <v>220</v>
      </c>
      <c r="G8" s="10" t="n">
        <f aca="false">E8*F8</f>
        <v>220</v>
      </c>
      <c r="H8" s="10" t="s">
        <v>915</v>
      </c>
      <c r="I8" s="35"/>
    </row>
  </sheetData>
  <autoFilter ref="A4:I8"/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8B2AC"/>
    <pageSetUpPr fitToPage="false"/>
  </sheetPr>
  <dimension ref="A1:H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6"/>
    <col collapsed="false" customWidth="true" hidden="false" outlineLevel="0" max="3" min="3" style="1" width="18"/>
    <col collapsed="false" customWidth="true" hidden="false" outlineLevel="0" max="5" min="4" style="1" width="42"/>
    <col collapsed="false" customWidth="true" hidden="false" outlineLevel="0" max="6" min="6" style="1" width="14"/>
    <col collapsed="false" customWidth="true" hidden="false" outlineLevel="0" max="7" min="7" style="1" width="10"/>
    <col collapsed="false" customWidth="true" hidden="false" outlineLevel="0" max="8" min="8" style="1" width="42"/>
  </cols>
  <sheetData>
    <row r="1" customFormat="false" ht="19.5" hidden="false" customHeight="true" outlineLevel="0" collapsed="false">
      <c r="A1" s="32" t="s">
        <v>919</v>
      </c>
      <c r="B1" s="32"/>
      <c r="C1" s="32"/>
      <c r="D1" s="32"/>
      <c r="E1" s="32"/>
      <c r="F1" s="32"/>
      <c r="G1" s="32"/>
      <c r="H1" s="32"/>
    </row>
    <row r="2" customFormat="false" ht="15" hidden="false" customHeight="true" outlineLevel="0" collapsed="false">
      <c r="A2" s="33" t="s">
        <v>920</v>
      </c>
      <c r="B2" s="33"/>
      <c r="C2" s="33"/>
      <c r="D2" s="33"/>
      <c r="E2" s="33"/>
      <c r="F2" s="33"/>
      <c r="G2" s="33"/>
      <c r="H2" s="33"/>
    </row>
    <row r="4" customFormat="false" ht="15" hidden="false" customHeight="true" outlineLevel="0" collapsed="false">
      <c r="A4" s="34" t="s">
        <v>921</v>
      </c>
      <c r="B4" s="34" t="s">
        <v>318</v>
      </c>
      <c r="C4" s="34" t="s">
        <v>922</v>
      </c>
      <c r="D4" s="34" t="s">
        <v>923</v>
      </c>
      <c r="E4" s="34" t="s">
        <v>924</v>
      </c>
      <c r="F4" s="34" t="s">
        <v>925</v>
      </c>
      <c r="G4" s="34" t="s">
        <v>323</v>
      </c>
      <c r="H4" s="34"/>
    </row>
    <row r="5" customFormat="false" ht="15" hidden="false" customHeight="true" outlineLevel="0" collapsed="false">
      <c r="A5" s="10" t="s">
        <v>926</v>
      </c>
      <c r="B5" s="10" t="s">
        <v>197</v>
      </c>
      <c r="C5" s="10" t="s">
        <v>927</v>
      </c>
      <c r="D5" s="10" t="s">
        <v>928</v>
      </c>
      <c r="E5" s="10" t="s">
        <v>929</v>
      </c>
      <c r="F5" s="10" t="s">
        <v>242</v>
      </c>
      <c r="G5" s="10" t="s">
        <v>627</v>
      </c>
      <c r="H5" s="35"/>
    </row>
    <row r="6" customFormat="false" ht="27.75" hidden="false" customHeight="true" outlineLevel="0" collapsed="false">
      <c r="A6" s="10" t="s">
        <v>930</v>
      </c>
      <c r="B6" s="10" t="s">
        <v>218</v>
      </c>
      <c r="C6" s="10" t="s">
        <v>931</v>
      </c>
      <c r="D6" s="10" t="s">
        <v>932</v>
      </c>
      <c r="E6" s="10" t="s">
        <v>933</v>
      </c>
      <c r="F6" s="10" t="s">
        <v>242</v>
      </c>
      <c r="G6" s="10" t="s">
        <v>934</v>
      </c>
      <c r="H6" s="10"/>
    </row>
    <row r="7" customFormat="false" ht="15" hidden="false" customHeight="true" outlineLevel="0" collapsed="false">
      <c r="A7" s="10" t="s">
        <v>935</v>
      </c>
      <c r="B7" s="10" t="s">
        <v>177</v>
      </c>
      <c r="C7" s="10" t="s">
        <v>936</v>
      </c>
      <c r="D7" s="10" t="s">
        <v>937</v>
      </c>
      <c r="E7" s="10" t="s">
        <v>938</v>
      </c>
      <c r="F7" s="10" t="s">
        <v>242</v>
      </c>
      <c r="G7" s="10" t="s">
        <v>627</v>
      </c>
      <c r="H7" s="35"/>
    </row>
  </sheetData>
  <autoFilter ref="A4:H7"/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A441"/>
    <pageSetUpPr fitToPage="false"/>
  </sheetPr>
  <dimension ref="A1: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37"/>
    <col collapsed="false" customWidth="true" hidden="false" outlineLevel="0" max="4" min="3" style="1" width="42"/>
  </cols>
  <sheetData>
    <row r="1" customFormat="false" ht="19.5" hidden="false" customHeight="true" outlineLevel="0" collapsed="false">
      <c r="A1" s="32" t="s">
        <v>939</v>
      </c>
      <c r="B1" s="32"/>
      <c r="C1" s="32"/>
      <c r="D1" s="32"/>
    </row>
    <row r="2" customFormat="false" ht="15" hidden="false" customHeight="true" outlineLevel="0" collapsed="false">
      <c r="A2" s="33" t="s">
        <v>940</v>
      </c>
      <c r="B2" s="33"/>
      <c r="C2" s="33"/>
      <c r="D2" s="33"/>
    </row>
    <row r="4" customFormat="false" ht="15" hidden="false" customHeight="true" outlineLevel="0" collapsed="false">
      <c r="A4" s="34" t="s">
        <v>941</v>
      </c>
      <c r="B4" s="34" t="s">
        <v>942</v>
      </c>
      <c r="C4" s="34" t="s">
        <v>943</v>
      </c>
      <c r="D4" s="34" t="s">
        <v>789</v>
      </c>
    </row>
    <row r="5" customFormat="false" ht="15" hidden="false" customHeight="true" outlineLevel="0" collapsed="false">
      <c r="A5" s="10" t="s">
        <v>944</v>
      </c>
      <c r="B5" s="10" t="s">
        <v>945</v>
      </c>
      <c r="C5" s="10" t="s">
        <v>946</v>
      </c>
      <c r="D5" s="35"/>
    </row>
    <row r="6" customFormat="false" ht="15" hidden="false" customHeight="true" outlineLevel="0" collapsed="false">
      <c r="A6" s="10" t="s">
        <v>947</v>
      </c>
      <c r="B6" s="10" t="s">
        <v>948</v>
      </c>
      <c r="C6" s="10" t="s">
        <v>949</v>
      </c>
      <c r="D6" s="35"/>
    </row>
    <row r="7" customFormat="false" ht="15" hidden="false" customHeight="true" outlineLevel="0" collapsed="false">
      <c r="A7" s="10" t="s">
        <v>950</v>
      </c>
      <c r="B7" s="10" t="s">
        <v>951</v>
      </c>
      <c r="C7" s="10" t="s">
        <v>952</v>
      </c>
      <c r="D7" s="35"/>
    </row>
    <row r="8" customFormat="false" ht="27.75" hidden="false" customHeight="true" outlineLevel="0" collapsed="false">
      <c r="A8" s="10" t="s">
        <v>953</v>
      </c>
      <c r="B8" s="10" t="s">
        <v>954</v>
      </c>
      <c r="C8" s="10" t="s">
        <v>955</v>
      </c>
      <c r="D8" s="35"/>
    </row>
    <row r="9" customFormat="false" ht="27.75" hidden="false" customHeight="true" outlineLevel="0" collapsed="false">
      <c r="A9" s="10" t="s">
        <v>956</v>
      </c>
      <c r="B9" s="10" t="s">
        <v>957</v>
      </c>
      <c r="C9" s="10" t="s">
        <v>958</v>
      </c>
      <c r="D9" s="35"/>
    </row>
    <row r="10" customFormat="false" ht="15" hidden="false" customHeight="true" outlineLevel="0" collapsed="false">
      <c r="A10" s="10" t="s">
        <v>959</v>
      </c>
      <c r="B10" s="10" t="s">
        <v>960</v>
      </c>
      <c r="C10" s="10" t="s">
        <v>961</v>
      </c>
      <c r="D10" s="35"/>
    </row>
    <row r="11" customFormat="false" ht="15" hidden="false" customHeight="true" outlineLevel="0" collapsed="false">
      <c r="A11" s="10" t="s">
        <v>821</v>
      </c>
      <c r="B11" s="10" t="s">
        <v>962</v>
      </c>
      <c r="C11" s="10" t="s">
        <v>963</v>
      </c>
      <c r="D11" s="35"/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5F"/>
    <pageSetUpPr fitToPage="false"/>
  </sheetPr>
  <dimension ref="A1:J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1"/>
    <col collapsed="false" customWidth="true" hidden="false" outlineLevel="0" max="3" min="3" style="1" width="42"/>
    <col collapsed="false" customWidth="true" hidden="false" outlineLevel="0" max="4" min="4" style="1" width="26"/>
    <col collapsed="false" customWidth="true" hidden="false" outlineLevel="0" max="5" min="5" style="1" width="24"/>
    <col collapsed="false" customWidth="true" hidden="false" outlineLevel="0" max="6" min="6" style="1" width="26"/>
    <col collapsed="false" customWidth="true" hidden="false" outlineLevel="0" max="7" min="7" style="1" width="20"/>
    <col collapsed="false" customWidth="true" hidden="false" outlineLevel="0" max="8" min="8" style="1" width="25"/>
    <col collapsed="false" customWidth="true" hidden="false" outlineLevel="0" max="9" min="9" style="1" width="42"/>
    <col collapsed="false" customWidth="true" hidden="false" outlineLevel="0" max="10" min="10" style="1" width="24"/>
  </cols>
  <sheetData>
    <row r="1" customFormat="false" ht="19.5" hidden="false" customHeight="true" outlineLevel="0" collapsed="false">
      <c r="A1" s="32" t="s">
        <v>964</v>
      </c>
      <c r="B1" s="32"/>
      <c r="C1" s="32"/>
      <c r="D1" s="32"/>
      <c r="E1" s="32"/>
      <c r="F1" s="32"/>
      <c r="G1" s="32"/>
      <c r="H1" s="32"/>
      <c r="I1" s="32"/>
      <c r="J1" s="32"/>
    </row>
    <row r="2" customFormat="false" ht="15" hidden="false" customHeight="true" outlineLevel="0" collapsed="false">
      <c r="A2" s="33" t="s">
        <v>965</v>
      </c>
      <c r="B2" s="33"/>
      <c r="C2" s="33"/>
      <c r="D2" s="33"/>
      <c r="E2" s="33"/>
      <c r="F2" s="33"/>
      <c r="G2" s="33"/>
      <c r="H2" s="33"/>
      <c r="I2" s="33"/>
      <c r="J2" s="33"/>
    </row>
    <row r="3" customFormat="false" ht="15" hidden="false" customHeight="true" outlineLevel="0" collapsed="false">
      <c r="A3" s="36" t="s">
        <v>612</v>
      </c>
      <c r="B3" s="36" t="s">
        <v>314</v>
      </c>
      <c r="C3" s="36" t="s">
        <v>966</v>
      </c>
      <c r="D3" s="36" t="s">
        <v>967</v>
      </c>
      <c r="E3" s="36" t="s">
        <v>968</v>
      </c>
      <c r="F3" s="36" t="s">
        <v>969</v>
      </c>
      <c r="G3" s="36" t="s">
        <v>970</v>
      </c>
      <c r="H3" s="36" t="s">
        <v>971</v>
      </c>
      <c r="I3" s="36" t="s">
        <v>619</v>
      </c>
      <c r="J3" s="36" t="s">
        <v>972</v>
      </c>
    </row>
    <row r="4" customFormat="false" ht="27.75" hidden="false" customHeight="true" outlineLevel="0" collapsed="false">
      <c r="A4" s="10" t="s">
        <v>973</v>
      </c>
      <c r="B4" s="10" t="s">
        <v>974</v>
      </c>
      <c r="C4" s="10" t="s">
        <v>975</v>
      </c>
      <c r="D4" s="35"/>
      <c r="E4" s="35"/>
      <c r="F4" s="35"/>
      <c r="G4" s="35"/>
      <c r="H4" s="35"/>
      <c r="I4" s="35"/>
      <c r="J4" s="10" t="s">
        <v>895</v>
      </c>
    </row>
    <row r="5" customFormat="false" ht="15" hidden="false" customHeight="true" outlineLevel="0" collapsed="false">
      <c r="A5" s="10" t="s">
        <v>976</v>
      </c>
      <c r="B5" s="10" t="s">
        <v>977</v>
      </c>
      <c r="C5" s="10" t="s">
        <v>978</v>
      </c>
      <c r="D5" s="35"/>
      <c r="E5" s="35"/>
      <c r="F5" s="35"/>
      <c r="G5" s="35"/>
      <c r="H5" s="35"/>
      <c r="I5" s="35"/>
      <c r="J5" s="10" t="s">
        <v>895</v>
      </c>
    </row>
    <row r="6" customFormat="false" ht="15" hidden="false" customHeight="true" outlineLevel="0" collapsed="false">
      <c r="A6" s="10" t="s">
        <v>979</v>
      </c>
      <c r="B6" s="10" t="s">
        <v>977</v>
      </c>
      <c r="C6" s="10" t="s">
        <v>980</v>
      </c>
      <c r="D6" s="35"/>
      <c r="E6" s="35"/>
      <c r="F6" s="35"/>
      <c r="G6" s="35"/>
      <c r="H6" s="35"/>
      <c r="I6" s="35"/>
      <c r="J6" s="10" t="s">
        <v>895</v>
      </c>
    </row>
    <row r="7" customFormat="false" ht="27.75" hidden="false" customHeight="true" outlineLevel="0" collapsed="false">
      <c r="A7" s="10" t="s">
        <v>981</v>
      </c>
      <c r="B7" s="10" t="s">
        <v>977</v>
      </c>
      <c r="C7" s="10" t="s">
        <v>982</v>
      </c>
      <c r="D7" s="35"/>
      <c r="E7" s="35"/>
      <c r="F7" s="35"/>
      <c r="G7" s="35"/>
      <c r="H7" s="35"/>
      <c r="I7" s="35"/>
      <c r="J7" s="10" t="s">
        <v>891</v>
      </c>
    </row>
    <row r="8" customFormat="false" ht="27.75" hidden="false" customHeight="true" outlineLevel="0" collapsed="false">
      <c r="A8" s="10" t="s">
        <v>983</v>
      </c>
      <c r="B8" s="10" t="s">
        <v>984</v>
      </c>
      <c r="C8" s="10" t="s">
        <v>985</v>
      </c>
      <c r="D8" s="35"/>
      <c r="E8" s="35"/>
      <c r="F8" s="35"/>
      <c r="G8" s="35"/>
      <c r="H8" s="35"/>
      <c r="I8" s="35"/>
      <c r="J8" s="10" t="s">
        <v>895</v>
      </c>
    </row>
    <row r="9" customFormat="false" ht="15" hidden="false" customHeight="true" outlineLevel="0" collapsed="false">
      <c r="A9" s="10" t="s">
        <v>986</v>
      </c>
      <c r="B9" s="10" t="s">
        <v>984</v>
      </c>
      <c r="C9" s="10" t="s">
        <v>987</v>
      </c>
      <c r="D9" s="35"/>
      <c r="E9" s="35"/>
      <c r="F9" s="35"/>
      <c r="G9" s="35"/>
      <c r="H9" s="35"/>
      <c r="I9" s="35"/>
      <c r="J9" s="10" t="s">
        <v>895</v>
      </c>
    </row>
    <row r="10" customFormat="false" ht="15" hidden="false" customHeight="true" outlineLevel="0" collapsed="false">
      <c r="A10" s="10" t="s">
        <v>988</v>
      </c>
      <c r="B10" s="10" t="s">
        <v>989</v>
      </c>
      <c r="C10" s="10" t="s">
        <v>990</v>
      </c>
      <c r="D10" s="35"/>
      <c r="E10" s="35"/>
      <c r="F10" s="35"/>
      <c r="G10" s="35"/>
      <c r="H10" s="35"/>
      <c r="I10" s="35"/>
      <c r="J10" s="10" t="s">
        <v>895</v>
      </c>
    </row>
    <row r="11" customFormat="false" ht="15" hidden="false" customHeight="true" outlineLevel="0" collapsed="false">
      <c r="A11" s="10" t="s">
        <v>991</v>
      </c>
      <c r="B11" s="10" t="s">
        <v>989</v>
      </c>
      <c r="C11" s="10" t="s">
        <v>992</v>
      </c>
      <c r="D11" s="35"/>
      <c r="E11" s="35"/>
      <c r="F11" s="35"/>
      <c r="G11" s="35"/>
      <c r="H11" s="35"/>
      <c r="I11" s="35"/>
      <c r="J11" s="10" t="s">
        <v>895</v>
      </c>
    </row>
    <row r="12" customFormat="false" ht="27.75" hidden="false" customHeight="true" outlineLevel="0" collapsed="false">
      <c r="A12" s="10" t="s">
        <v>993</v>
      </c>
      <c r="B12" s="10" t="s">
        <v>994</v>
      </c>
      <c r="C12" s="10" t="s">
        <v>995</v>
      </c>
      <c r="D12" s="35"/>
      <c r="E12" s="35"/>
      <c r="F12" s="35"/>
      <c r="G12" s="35"/>
      <c r="H12" s="35"/>
      <c r="I12" s="35"/>
      <c r="J12" s="10" t="s">
        <v>895</v>
      </c>
    </row>
    <row r="13" customFormat="false" ht="27.75" hidden="false" customHeight="true" outlineLevel="0" collapsed="false">
      <c r="A13" s="10" t="s">
        <v>996</v>
      </c>
      <c r="B13" s="10" t="s">
        <v>997</v>
      </c>
      <c r="C13" s="10" t="s">
        <v>998</v>
      </c>
      <c r="D13" s="10"/>
      <c r="E13" s="10"/>
      <c r="F13" s="10"/>
      <c r="G13" s="10"/>
      <c r="H13" s="10"/>
      <c r="I13" s="10"/>
      <c r="J13" s="10" t="s">
        <v>895</v>
      </c>
    </row>
    <row r="14" customFormat="false" ht="27.75" hidden="false" customHeight="true" outlineLevel="0" collapsed="false"/>
    <row r="16" customFormat="false" ht="15" hidden="false" customHeight="true" outlineLevel="0" collapsed="false">
      <c r="A16" s="13" t="s">
        <v>999</v>
      </c>
    </row>
    <row r="17" customFormat="false" ht="15" hidden="false" customHeight="true" outlineLevel="0" collapsed="false">
      <c r="A17" s="10" t="s">
        <v>1000</v>
      </c>
    </row>
    <row r="18" customFormat="false" ht="15" hidden="false" customHeight="true" outlineLevel="0" collapsed="false">
      <c r="A18" s="10" t="s">
        <v>1001</v>
      </c>
    </row>
    <row r="19" customFormat="false" ht="15" hidden="false" customHeight="true" outlineLevel="0" collapsed="false">
      <c r="A19" s="10" t="s">
        <v>1002</v>
      </c>
    </row>
    <row r="20" customFormat="false" ht="15" hidden="false" customHeight="true" outlineLevel="0" collapsed="false">
      <c r="A20" s="10" t="s">
        <v>1003</v>
      </c>
    </row>
    <row r="21" customFormat="false" ht="15" hidden="false" customHeight="true" outlineLevel="0" collapsed="false">
      <c r="A21" s="10" t="s">
        <v>1004</v>
      </c>
    </row>
    <row r="23" customFormat="false" ht="15" hidden="false" customHeight="true" outlineLevel="0" collapsed="false">
      <c r="A23" s="13" t="s">
        <v>1005</v>
      </c>
    </row>
    <row r="24" customFormat="false" ht="15" hidden="false" customHeight="true" outlineLevel="0" collapsed="false">
      <c r="A24" s="10" t="s">
        <v>1006</v>
      </c>
      <c r="B24" s="40"/>
      <c r="C24" s="40"/>
      <c r="D24" s="40"/>
      <c r="E24" s="40"/>
      <c r="F24" s="40"/>
      <c r="G24" s="40"/>
      <c r="H24" s="40"/>
      <c r="I24" s="40"/>
      <c r="J24" s="40"/>
    </row>
    <row r="25" customFormat="false" ht="15" hidden="false" customHeight="true" outlineLevel="0" collapsed="false">
      <c r="A25" s="41"/>
      <c r="B25" s="41"/>
      <c r="C25" s="41"/>
      <c r="D25" s="41"/>
      <c r="E25" s="41"/>
      <c r="F25" s="41"/>
      <c r="G25" s="41"/>
      <c r="H25" s="41"/>
      <c r="I25" s="41"/>
      <c r="J25" s="41"/>
    </row>
  </sheetData>
  <mergeCells count="3">
    <mergeCell ref="A1:J1"/>
    <mergeCell ref="A2:J2"/>
    <mergeCell ref="A25:J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8B2AC"/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1" width="42"/>
    <col collapsed="false" customWidth="true" hidden="false" outlineLevel="0" max="4" min="3" style="1" width="27"/>
    <col collapsed="false" customWidth="true" hidden="false" outlineLevel="0" max="5" min="5" style="1" width="34"/>
  </cols>
  <sheetData>
    <row r="1" customFormat="false" ht="19.5" hidden="false" customHeight="true" outlineLevel="0" collapsed="false">
      <c r="A1" s="32" t="s">
        <v>1007</v>
      </c>
      <c r="B1" s="32"/>
      <c r="C1" s="32"/>
      <c r="D1" s="32"/>
      <c r="E1" s="32"/>
    </row>
    <row r="2" customFormat="false" ht="15" hidden="false" customHeight="true" outlineLevel="0" collapsed="false">
      <c r="A2" s="33" t="s">
        <v>1008</v>
      </c>
      <c r="B2" s="33"/>
      <c r="C2" s="33"/>
      <c r="D2" s="33"/>
      <c r="E2" s="33"/>
    </row>
    <row r="4" customFormat="false" ht="15" hidden="false" customHeight="true" outlineLevel="0" collapsed="false">
      <c r="A4" s="34" t="s">
        <v>1009</v>
      </c>
      <c r="B4" s="34" t="s">
        <v>1010</v>
      </c>
      <c r="C4" s="34" t="s">
        <v>1011</v>
      </c>
      <c r="D4" s="34" t="s">
        <v>1012</v>
      </c>
      <c r="E4" s="34" t="s">
        <v>944</v>
      </c>
    </row>
    <row r="5" customFormat="false" ht="15" hidden="false" customHeight="true" outlineLevel="0" collapsed="false">
      <c r="A5" s="10" t="s">
        <v>1013</v>
      </c>
      <c r="B5" s="10" t="s">
        <v>1014</v>
      </c>
      <c r="C5" s="10" t="s">
        <v>1015</v>
      </c>
      <c r="D5" s="10" t="s">
        <v>1016</v>
      </c>
      <c r="E5" s="10" t="s">
        <v>1017</v>
      </c>
    </row>
    <row r="6" customFormat="false" ht="15" hidden="false" customHeight="true" outlineLevel="0" collapsed="false">
      <c r="A6" s="10" t="s">
        <v>1018</v>
      </c>
      <c r="B6" s="10" t="s">
        <v>1019</v>
      </c>
      <c r="C6" s="10" t="s">
        <v>1020</v>
      </c>
      <c r="D6" s="10" t="s">
        <v>1016</v>
      </c>
      <c r="E6" s="10" t="s">
        <v>1021</v>
      </c>
    </row>
    <row r="7" customFormat="false" ht="15" hidden="false" customHeight="true" outlineLevel="0" collapsed="false">
      <c r="A7" s="10" t="s">
        <v>1022</v>
      </c>
      <c r="B7" s="10" t="s">
        <v>1023</v>
      </c>
      <c r="C7" s="10" t="s">
        <v>1024</v>
      </c>
      <c r="D7" s="10" t="s">
        <v>1016</v>
      </c>
      <c r="E7" s="10" t="s">
        <v>1025</v>
      </c>
    </row>
    <row r="8" customFormat="false" ht="15" hidden="false" customHeight="true" outlineLevel="0" collapsed="false">
      <c r="A8" s="10" t="s">
        <v>1026</v>
      </c>
      <c r="B8" s="10" t="s">
        <v>1027</v>
      </c>
      <c r="C8" s="10" t="s">
        <v>1028</v>
      </c>
      <c r="D8" s="10" t="s">
        <v>1016</v>
      </c>
      <c r="E8" s="10" t="s">
        <v>1029</v>
      </c>
    </row>
    <row r="9" customFormat="false" ht="15" hidden="false" customHeight="true" outlineLevel="0" collapsed="false">
      <c r="A9" s="10" t="s">
        <v>1030</v>
      </c>
      <c r="B9" s="10" t="s">
        <v>1031</v>
      </c>
      <c r="C9" s="10" t="s">
        <v>1032</v>
      </c>
      <c r="D9" s="10" t="s">
        <v>1016</v>
      </c>
      <c r="E9" s="10" t="s">
        <v>1033</v>
      </c>
    </row>
    <row r="10" customFormat="false" ht="15" hidden="false" customHeight="true" outlineLevel="0" collapsed="false">
      <c r="A10" s="10" t="s">
        <v>1034</v>
      </c>
      <c r="B10" s="10" t="s">
        <v>1035</v>
      </c>
      <c r="C10" s="10" t="s">
        <v>1036</v>
      </c>
      <c r="D10" s="10" t="s">
        <v>1016</v>
      </c>
      <c r="E10" s="10" t="s">
        <v>1037</v>
      </c>
    </row>
    <row r="13" customFormat="false" ht="15" hidden="false" customHeight="true" outlineLevel="0" collapsed="false">
      <c r="A13" s="13" t="s">
        <v>1038</v>
      </c>
      <c r="B13" s="10" t="s">
        <v>1039</v>
      </c>
      <c r="C13" s="10"/>
      <c r="D13" s="10"/>
      <c r="E13" s="10"/>
    </row>
  </sheetData>
  <mergeCells count="3">
    <mergeCell ref="A1:E1"/>
    <mergeCell ref="A2:E2"/>
    <mergeCell ref="B13:E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A441"/>
    <pageSetUpPr fitToPage="fals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1" width="42"/>
    <col collapsed="false" customWidth="true" hidden="false" outlineLevel="0" max="3" min="3" style="1" width="11"/>
    <col collapsed="false" customWidth="true" hidden="false" outlineLevel="0" max="6" min="4" style="1" width="42"/>
  </cols>
  <sheetData>
    <row r="1" customFormat="false" ht="19.5" hidden="false" customHeight="true" outlineLevel="0" collapsed="false">
      <c r="A1" s="32" t="s">
        <v>1040</v>
      </c>
      <c r="B1" s="32"/>
      <c r="C1" s="32"/>
      <c r="D1" s="32"/>
      <c r="E1" s="32"/>
      <c r="F1" s="32"/>
    </row>
    <row r="2" customFormat="false" ht="15" hidden="false" customHeight="true" outlineLevel="0" collapsed="false">
      <c r="A2" s="33" t="s">
        <v>1041</v>
      </c>
      <c r="B2" s="33"/>
      <c r="C2" s="33"/>
      <c r="D2" s="33"/>
      <c r="E2" s="33"/>
      <c r="F2" s="33"/>
    </row>
    <row r="4" customFormat="false" ht="15" hidden="false" customHeight="true" outlineLevel="0" collapsed="false">
      <c r="A4" s="34" t="s">
        <v>1042</v>
      </c>
      <c r="B4" s="34" t="s">
        <v>1043</v>
      </c>
      <c r="C4" s="34" t="s">
        <v>1044</v>
      </c>
      <c r="D4" s="34" t="s">
        <v>1045</v>
      </c>
      <c r="E4" s="34" t="s">
        <v>1046</v>
      </c>
      <c r="F4" s="34" t="s">
        <v>1047</v>
      </c>
    </row>
    <row r="5" customFormat="false" ht="27.75" hidden="false" customHeight="true" outlineLevel="0" collapsed="false">
      <c r="A5" s="10" t="n">
        <v>1</v>
      </c>
      <c r="B5" s="10" t="s">
        <v>1048</v>
      </c>
      <c r="C5" s="10" t="s">
        <v>891</v>
      </c>
      <c r="D5" s="10" t="s">
        <v>1049</v>
      </c>
      <c r="E5" s="10" t="s">
        <v>1050</v>
      </c>
      <c r="F5" s="10" t="s">
        <v>1051</v>
      </c>
    </row>
    <row r="6" customFormat="false" ht="27.75" hidden="false" customHeight="true" outlineLevel="0" collapsed="false">
      <c r="A6" s="10" t="n">
        <v>2</v>
      </c>
      <c r="B6" s="10" t="s">
        <v>1052</v>
      </c>
      <c r="C6" s="10" t="s">
        <v>891</v>
      </c>
      <c r="D6" s="10" t="s">
        <v>1053</v>
      </c>
      <c r="E6" s="10" t="s">
        <v>1054</v>
      </c>
      <c r="F6" s="10" t="s">
        <v>1055</v>
      </c>
    </row>
    <row r="7" customFormat="false" ht="27.75" hidden="false" customHeight="true" outlineLevel="0" collapsed="false">
      <c r="A7" s="10" t="n">
        <v>3</v>
      </c>
      <c r="B7" s="10" t="s">
        <v>1056</v>
      </c>
      <c r="C7" s="10" t="s">
        <v>891</v>
      </c>
      <c r="D7" s="10" t="s">
        <v>1057</v>
      </c>
      <c r="E7" s="10" t="s">
        <v>1058</v>
      </c>
      <c r="F7" s="10" t="s">
        <v>1059</v>
      </c>
    </row>
    <row r="8" customFormat="false" ht="15" hidden="false" customHeight="true" outlineLevel="0" collapsed="false">
      <c r="A8" s="10" t="n">
        <v>4</v>
      </c>
      <c r="B8" s="10" t="s">
        <v>1060</v>
      </c>
      <c r="C8" s="10" t="s">
        <v>891</v>
      </c>
      <c r="D8" s="10" t="s">
        <v>1061</v>
      </c>
      <c r="E8" s="10" t="s">
        <v>1062</v>
      </c>
      <c r="F8" s="10" t="s">
        <v>1063</v>
      </c>
    </row>
    <row r="9" customFormat="false" ht="27.75" hidden="false" customHeight="true" outlineLevel="0" collapsed="false">
      <c r="A9" s="10" t="n">
        <v>5</v>
      </c>
      <c r="B9" s="10" t="s">
        <v>1064</v>
      </c>
      <c r="C9" s="10" t="s">
        <v>891</v>
      </c>
      <c r="D9" s="10" t="s">
        <v>1065</v>
      </c>
      <c r="E9" s="10" t="s">
        <v>1066</v>
      </c>
      <c r="F9" s="10" t="s">
        <v>1067</v>
      </c>
    </row>
    <row r="10" customFormat="false" ht="27.75" hidden="false" customHeight="true" outlineLevel="0" collapsed="false">
      <c r="A10" s="10" t="n">
        <v>6</v>
      </c>
      <c r="B10" s="10" t="s">
        <v>1068</v>
      </c>
      <c r="C10" s="10" t="s">
        <v>891</v>
      </c>
      <c r="D10" s="10" t="s">
        <v>1069</v>
      </c>
      <c r="E10" s="10" t="s">
        <v>1070</v>
      </c>
      <c r="F10" s="10" t="s">
        <v>1071</v>
      </c>
    </row>
    <row r="11" customFormat="false" ht="27.75" hidden="false" customHeight="true" outlineLevel="0" collapsed="false">
      <c r="A11" s="10" t="n">
        <v>7</v>
      </c>
      <c r="B11" s="10" t="s">
        <v>1072</v>
      </c>
      <c r="C11" s="10" t="s">
        <v>891</v>
      </c>
      <c r="D11" s="10" t="s">
        <v>1073</v>
      </c>
      <c r="E11" s="10" t="s">
        <v>1074</v>
      </c>
      <c r="F11" s="10" t="s">
        <v>1075</v>
      </c>
    </row>
    <row r="12" customFormat="false" ht="27.75" hidden="false" customHeight="true" outlineLevel="0" collapsed="false">
      <c r="A12" s="10" t="n">
        <v>8</v>
      </c>
      <c r="B12" s="10" t="s">
        <v>636</v>
      </c>
      <c r="C12" s="10" t="s">
        <v>891</v>
      </c>
      <c r="D12" s="10" t="s">
        <v>1076</v>
      </c>
      <c r="E12" s="10" t="s">
        <v>1077</v>
      </c>
      <c r="F12" s="10" t="s">
        <v>1078</v>
      </c>
    </row>
    <row r="13" customFormat="false" ht="27.75" hidden="false" customHeight="true" outlineLevel="0" collapsed="false">
      <c r="A13" s="10" t="n">
        <v>9</v>
      </c>
      <c r="B13" s="10" t="s">
        <v>1079</v>
      </c>
      <c r="C13" s="10" t="s">
        <v>891</v>
      </c>
      <c r="D13" s="10" t="s">
        <v>1080</v>
      </c>
      <c r="E13" s="10" t="s">
        <v>1081</v>
      </c>
      <c r="F13" s="10" t="s">
        <v>1082</v>
      </c>
    </row>
    <row r="14" customFormat="false" ht="27.75" hidden="false" customHeight="true" outlineLevel="0" collapsed="false">
      <c r="A14" s="10" t="n">
        <v>10</v>
      </c>
      <c r="B14" s="10" t="s">
        <v>1083</v>
      </c>
      <c r="C14" s="10" t="s">
        <v>891</v>
      </c>
      <c r="D14" s="10" t="s">
        <v>1084</v>
      </c>
      <c r="E14" s="10" t="s">
        <v>1085</v>
      </c>
      <c r="F14" s="10" t="s">
        <v>1086</v>
      </c>
    </row>
    <row r="17" customFormat="false" ht="15" hidden="false" customHeight="true" outlineLevel="0" collapsed="false">
      <c r="A17" s="13" t="s">
        <v>1087</v>
      </c>
      <c r="B17" s="10" t="s">
        <v>1088</v>
      </c>
      <c r="C17" s="10"/>
      <c r="D17" s="10"/>
      <c r="E17" s="10"/>
      <c r="F17" s="10"/>
    </row>
    <row r="18" customFormat="false" ht="15" hidden="false" customHeight="true" outlineLevel="0" collapsed="false">
      <c r="A18" s="13" t="s">
        <v>1089</v>
      </c>
      <c r="B18" s="10" t="s">
        <v>1090</v>
      </c>
      <c r="C18" s="10"/>
      <c r="D18" s="10"/>
      <c r="E18" s="10"/>
      <c r="F18" s="10"/>
    </row>
    <row r="19" customFormat="false" ht="15" hidden="false" customHeight="true" outlineLevel="0" collapsed="false">
      <c r="A19" s="13" t="s">
        <v>1091</v>
      </c>
      <c r="B19" s="10" t="s">
        <v>1092</v>
      </c>
      <c r="C19" s="10"/>
      <c r="D19" s="10"/>
      <c r="E19" s="10"/>
      <c r="F19" s="10"/>
    </row>
    <row r="20" customFormat="false" ht="15" hidden="false" customHeight="true" outlineLevel="0" collapsed="false">
      <c r="A20" s="13" t="s">
        <v>1093</v>
      </c>
      <c r="B20" s="10" t="s">
        <v>1094</v>
      </c>
      <c r="C20" s="10"/>
      <c r="D20" s="10"/>
      <c r="E20" s="10"/>
      <c r="F20" s="10"/>
    </row>
  </sheetData>
  <mergeCells count="6">
    <mergeCell ref="A1:F1"/>
    <mergeCell ref="A2:F2"/>
    <mergeCell ref="B17:F17"/>
    <mergeCell ref="B18:F18"/>
    <mergeCell ref="B19:F19"/>
    <mergeCell ref="B20:F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21"/>
    <col collapsed="false" customWidth="true" hidden="false" outlineLevel="0" max="3" min="3" style="1" width="16"/>
    <col collapsed="false" customWidth="true" hidden="false" outlineLevel="0" max="4" min="4" style="1" width="42"/>
    <col collapsed="false" customWidth="true" hidden="false" outlineLevel="0" max="6" min="5" style="1" width="11"/>
    <col collapsed="false" customWidth="true" hidden="false" outlineLevel="0" max="8" min="7" style="1" width="10"/>
    <col collapsed="false" customWidth="true" hidden="false" outlineLevel="0" max="9" min="9" style="1" width="15"/>
    <col collapsed="false" customWidth="true" hidden="false" outlineLevel="0" max="10" min="10" style="1" width="11"/>
    <col collapsed="false" customWidth="true" hidden="false" outlineLevel="0" max="11" min="11" style="1" width="42"/>
  </cols>
  <sheetData>
    <row r="1" customFormat="false" ht="17.25" hidden="false" customHeight="true" outlineLevel="0" collapsed="false">
      <c r="A1" s="14" t="s">
        <v>1095</v>
      </c>
    </row>
    <row r="2" customFormat="false" ht="15" hidden="false" customHeight="true" outlineLevel="0" collapsed="false">
      <c r="A2" s="42" t="s">
        <v>1096</v>
      </c>
    </row>
    <row r="3" customFormat="false" ht="27.75" hidden="false" customHeight="true" outlineLevel="0" collapsed="false">
      <c r="A3" s="36" t="s">
        <v>1097</v>
      </c>
      <c r="B3" s="36" t="s">
        <v>1098</v>
      </c>
      <c r="C3" s="36" t="s">
        <v>318</v>
      </c>
      <c r="D3" s="36" t="s">
        <v>1099</v>
      </c>
      <c r="E3" s="36" t="s">
        <v>911</v>
      </c>
      <c r="F3" s="36" t="s">
        <v>321</v>
      </c>
      <c r="G3" s="36" t="s">
        <v>315</v>
      </c>
      <c r="H3" s="36" t="s">
        <v>316</v>
      </c>
      <c r="I3" s="36" t="s">
        <v>1100</v>
      </c>
      <c r="J3" s="36" t="s">
        <v>323</v>
      </c>
      <c r="K3" s="36" t="s">
        <v>1101</v>
      </c>
    </row>
    <row r="4" customFormat="false" ht="15" hidden="false" customHeight="true" outlineLevel="0" collapsed="false">
      <c r="A4" s="10" t="s">
        <v>1102</v>
      </c>
      <c r="B4" s="43" t="n">
        <v>46321</v>
      </c>
      <c r="C4" s="10" t="s">
        <v>177</v>
      </c>
      <c r="D4" s="10" t="str">
        <f aca="false">IFERROR(INDEX(Participants!$B$4:$B$15,MATCH(C4,Participants!$A$4:$A$15,0)),"NOT FOUND")</f>
        <v>Marisol Reyes</v>
      </c>
      <c r="E4" s="10" t="s">
        <v>381</v>
      </c>
      <c r="F4" s="10" t="s">
        <v>258</v>
      </c>
      <c r="G4" s="10" t="s">
        <v>1103</v>
      </c>
      <c r="H4" s="10" t="s">
        <v>1104</v>
      </c>
      <c r="I4" s="10" t="n">
        <v>2</v>
      </c>
      <c r="J4" s="10" t="s">
        <v>1105</v>
      </c>
      <c r="K4" s="10" t="s">
        <v>1106</v>
      </c>
    </row>
    <row r="5" customFormat="false" ht="15" hidden="false" customHeight="true" outlineLevel="0" collapsed="false">
      <c r="A5" s="10" t="s">
        <v>1107</v>
      </c>
      <c r="B5" s="43" t="n">
        <v>46321</v>
      </c>
      <c r="C5" s="10" t="s">
        <v>194</v>
      </c>
      <c r="D5" s="10" t="str">
        <f aca="false">IFERROR(INDEX(Participants!$B$4:$B$15,MATCH(C5,Participants!$A$4:$A$15,0)),"NOT FOUND")</f>
        <v>Tom Nguyen</v>
      </c>
      <c r="E5" s="10" t="s">
        <v>369</v>
      </c>
      <c r="F5" s="10" t="s">
        <v>285</v>
      </c>
      <c r="G5" s="10" t="s">
        <v>1103</v>
      </c>
      <c r="H5" s="10" t="s">
        <v>1108</v>
      </c>
      <c r="I5" s="10" t="n">
        <v>4</v>
      </c>
      <c r="J5" s="10" t="s">
        <v>1105</v>
      </c>
      <c r="K5" s="10" t="s">
        <v>1109</v>
      </c>
    </row>
    <row r="6" customFormat="false" ht="15" hidden="false" customHeight="true" outlineLevel="0" collapsed="false">
      <c r="A6" s="10" t="s">
        <v>1110</v>
      </c>
      <c r="B6" s="43" t="n">
        <v>46322</v>
      </c>
      <c r="C6" s="10" t="s">
        <v>200</v>
      </c>
      <c r="D6" s="10" t="str">
        <f aca="false">IFERROR(INDEX(Participants!$B$4:$B$15,MATCH(C6,Participants!$A$4:$A$15,0)),"NOT FOUND")</f>
        <v>Jack O'Connor</v>
      </c>
      <c r="E6" s="10" t="s">
        <v>369</v>
      </c>
      <c r="F6" s="10" t="s">
        <v>275</v>
      </c>
      <c r="G6" s="10" t="s">
        <v>1103</v>
      </c>
      <c r="H6" s="10" t="s">
        <v>1108</v>
      </c>
      <c r="I6" s="10" t="n">
        <v>4</v>
      </c>
      <c r="J6" s="10" t="s">
        <v>1105</v>
      </c>
      <c r="K6" s="10" t="s">
        <v>1111</v>
      </c>
    </row>
    <row r="7" customFormat="false" ht="15" hidden="false" customHeight="true" outlineLevel="0" collapsed="false">
      <c r="A7" s="10" t="s">
        <v>1112</v>
      </c>
      <c r="B7" s="43" t="n">
        <v>46323</v>
      </c>
      <c r="C7" s="10" t="s">
        <v>184</v>
      </c>
      <c r="D7" s="10" t="str">
        <f aca="false">IFERROR(INDEX(Participants!$B$4:$B$15,MATCH(C7,Participants!$A$4:$A$15,0)),"NOT FOUND")</f>
        <v>Daniel Whitfield</v>
      </c>
      <c r="E7" s="10" t="s">
        <v>369</v>
      </c>
      <c r="F7" s="10" t="s">
        <v>285</v>
      </c>
      <c r="G7" s="10" t="s">
        <v>1113</v>
      </c>
      <c r="H7" s="10" t="s">
        <v>1114</v>
      </c>
      <c r="I7" s="10" t="n">
        <v>4</v>
      </c>
      <c r="J7" s="10" t="s">
        <v>1105</v>
      </c>
      <c r="K7" s="10" t="s">
        <v>1115</v>
      </c>
    </row>
    <row r="8" customFormat="false" ht="15" hidden="false" customHeight="true" outlineLevel="0" collapsed="false">
      <c r="A8" s="10" t="s">
        <v>1116</v>
      </c>
      <c r="B8" s="43" t="n">
        <v>46323</v>
      </c>
      <c r="C8" s="10" t="s">
        <v>220</v>
      </c>
      <c r="D8" s="10" t="str">
        <f aca="false">IFERROR(INDEX(Participants!$B$4:$B$15,MATCH(C8,Participants!$A$4:$A$15,0)),"NOT FOUND")</f>
        <v>Ravi Patel</v>
      </c>
      <c r="E8" s="10" t="s">
        <v>398</v>
      </c>
      <c r="F8" s="10" t="s">
        <v>299</v>
      </c>
      <c r="G8" s="10" t="s">
        <v>1108</v>
      </c>
      <c r="H8" s="10" t="s">
        <v>1114</v>
      </c>
      <c r="I8" s="10" t="n">
        <v>1</v>
      </c>
      <c r="J8" s="10" t="s">
        <v>1105</v>
      </c>
      <c r="K8" s="10" t="s">
        <v>1117</v>
      </c>
    </row>
    <row r="9" customFormat="false" ht="15" hidden="false" customHeight="true" outlineLevel="0" collapsed="false">
      <c r="A9" s="10" t="s">
        <v>1118</v>
      </c>
      <c r="B9" s="43" t="n">
        <v>46323</v>
      </c>
      <c r="C9" s="10" t="s">
        <v>203</v>
      </c>
      <c r="D9" s="10" t="str">
        <f aca="false">IFERROR(INDEX(Participants!$B$4:$B$15,MATCH(C9,Participants!$A$4:$A$15,0)),"NOT FOUND")</f>
        <v>Lucia Fernandez</v>
      </c>
      <c r="E9" s="10" t="s">
        <v>400</v>
      </c>
      <c r="F9" s="10" t="s">
        <v>303</v>
      </c>
      <c r="G9" s="10" t="s">
        <v>1113</v>
      </c>
      <c r="H9" s="10" t="s">
        <v>1104</v>
      </c>
      <c r="I9" s="10" t="n">
        <v>1</v>
      </c>
      <c r="J9" s="10" t="s">
        <v>1105</v>
      </c>
      <c r="K9" s="10" t="s">
        <v>1119</v>
      </c>
    </row>
    <row r="10" customFormat="false" ht="15" hidden="false" customHeight="true" outlineLevel="0" collapsed="false">
      <c r="A10" s="10" t="s">
        <v>1120</v>
      </c>
      <c r="B10" s="43" t="n">
        <v>46324</v>
      </c>
      <c r="C10" s="10" t="s">
        <v>194</v>
      </c>
      <c r="D10" s="10" t="str">
        <f aca="false">IFERROR(INDEX(Participants!$B$4:$B$15,MATCH(C10,Participants!$A$4:$A$15,0)),"NOT FOUND")</f>
        <v>Tom Nguyen</v>
      </c>
      <c r="E10" s="10" t="s">
        <v>395</v>
      </c>
      <c r="F10" s="10" t="s">
        <v>292</v>
      </c>
      <c r="G10" s="10" t="s">
        <v>1103</v>
      </c>
      <c r="H10" s="10" t="s">
        <v>1113</v>
      </c>
      <c r="I10" s="10" t="n">
        <v>1</v>
      </c>
      <c r="J10" s="10" t="s">
        <v>1105</v>
      </c>
      <c r="K10" s="10" t="s">
        <v>1121</v>
      </c>
    </row>
    <row r="11" customFormat="false" ht="15" hidden="false" customHeight="true" outlineLevel="0" collapsed="false">
      <c r="A11" s="10" t="s">
        <v>1122</v>
      </c>
      <c r="B11" s="43" t="n">
        <v>46324</v>
      </c>
      <c r="C11" s="10" t="s">
        <v>208</v>
      </c>
      <c r="D11" s="10" t="str">
        <f aca="false">IFERROR(INDEX(Participants!$B$4:$B$15,MATCH(C11,Participants!$A$4:$A$15,0)),"NOT FOUND")</f>
        <v>Ben Taylor</v>
      </c>
      <c r="E11" s="10" t="s">
        <v>381</v>
      </c>
      <c r="F11" s="10" t="s">
        <v>278</v>
      </c>
      <c r="G11" s="10" t="s">
        <v>1103</v>
      </c>
      <c r="H11" s="10" t="s">
        <v>1108</v>
      </c>
      <c r="I11" s="10" t="n">
        <v>4</v>
      </c>
      <c r="J11" s="10" t="s">
        <v>1105</v>
      </c>
      <c r="K11" s="10" t="s">
        <v>1123</v>
      </c>
    </row>
    <row r="12" customFormat="false" ht="15" hidden="false" customHeight="true" outlineLevel="0" collapsed="false">
      <c r="A12" s="10" t="s">
        <v>1124</v>
      </c>
      <c r="B12" s="43" t="n">
        <v>46324</v>
      </c>
      <c r="C12" s="10" t="s">
        <v>189</v>
      </c>
      <c r="D12" s="10" t="str">
        <f aca="false">IFERROR(INDEX(Participants!$B$4:$B$15,MATCH(C12,Participants!$A$4:$A$15,0)),"NOT FOUND")</f>
        <v>Aisha Rahman</v>
      </c>
      <c r="E12" s="10" t="s">
        <v>386</v>
      </c>
      <c r="F12" s="10" t="s">
        <v>245</v>
      </c>
      <c r="G12" s="10" t="s">
        <v>1103</v>
      </c>
      <c r="H12" s="10" t="s">
        <v>1104</v>
      </c>
      <c r="I12" s="10" t="n">
        <v>2</v>
      </c>
      <c r="J12" s="10" t="s">
        <v>1105</v>
      </c>
      <c r="K12" s="10" t="s">
        <v>1125</v>
      </c>
    </row>
    <row r="13" customFormat="false" ht="15" hidden="false" customHeight="true" outlineLevel="0" collapsed="false">
      <c r="A13" s="10" t="s">
        <v>1126</v>
      </c>
      <c r="B13" s="43" t="n">
        <v>46325</v>
      </c>
      <c r="C13" s="10" t="s">
        <v>218</v>
      </c>
      <c r="D13" s="10" t="str">
        <f aca="false">IFERROR(INDEX(Participants!$B$4:$B$15,MATCH(C13,Participants!$A$4:$A$15,0)),"NOT FOUND")</f>
        <v>Hannah Kowalski</v>
      </c>
      <c r="E13" s="10" t="s">
        <v>369</v>
      </c>
      <c r="F13" s="10" t="s">
        <v>282</v>
      </c>
      <c r="G13" s="10" t="s">
        <v>1103</v>
      </c>
      <c r="H13" s="10" t="s">
        <v>1108</v>
      </c>
      <c r="I13" s="10" t="n">
        <v>4</v>
      </c>
      <c r="J13" s="10" t="s">
        <v>1105</v>
      </c>
      <c r="K13" s="10" t="s">
        <v>1127</v>
      </c>
    </row>
    <row r="14" customFormat="false" ht="15" hidden="false" customHeight="true" outlineLevel="0" collapsed="false">
      <c r="A14" s="10" t="s">
        <v>1128</v>
      </c>
      <c r="B14" s="43" t="n">
        <v>46325</v>
      </c>
      <c r="C14" s="10" t="s">
        <v>200</v>
      </c>
      <c r="D14" s="10" t="str">
        <f aca="false">IFERROR(INDEX(Participants!$B$4:$B$15,MATCH(C14,Participants!$A$4:$A$15,0)),"NOT FOUND")</f>
        <v>Jack O'Connor</v>
      </c>
      <c r="E14" s="10" t="s">
        <v>373</v>
      </c>
      <c r="F14" s="10" t="s">
        <v>275</v>
      </c>
      <c r="G14" s="10" t="s">
        <v>1129</v>
      </c>
      <c r="H14" s="10" t="s">
        <v>1130</v>
      </c>
      <c r="I14" s="10" t="n">
        <v>3</v>
      </c>
      <c r="J14" s="10" t="s">
        <v>1105</v>
      </c>
      <c r="K14" s="10" t="s">
        <v>1131</v>
      </c>
    </row>
    <row r="15" customFormat="false" ht="15" hidden="false" customHeight="true" outlineLevel="0" collapsed="false">
      <c r="A15" s="10" t="s">
        <v>1132</v>
      </c>
      <c r="B15" s="43" t="n">
        <v>46325</v>
      </c>
      <c r="C15" s="10" t="s">
        <v>220</v>
      </c>
      <c r="D15" s="10" t="str">
        <f aca="false">IFERROR(INDEX(Participants!$B$4:$B$15,MATCH(C15,Participants!$A$4:$A$15,0)),"NOT FOUND")</f>
        <v>Ravi Patel</v>
      </c>
      <c r="E15" s="10" t="s">
        <v>369</v>
      </c>
      <c r="F15" s="10" t="s">
        <v>285</v>
      </c>
      <c r="G15" s="10" t="s">
        <v>1114</v>
      </c>
      <c r="H15" s="10" t="s">
        <v>1133</v>
      </c>
      <c r="I15" s="10" t="n">
        <v>4</v>
      </c>
      <c r="J15" s="10" t="s">
        <v>1105</v>
      </c>
      <c r="K15" s="10" t="s">
        <v>1134</v>
      </c>
    </row>
    <row r="16" customFormat="false" ht="15" hidden="false" customHeight="true" outlineLevel="0" collapsed="false">
      <c r="A16" s="10" t="s">
        <v>1135</v>
      </c>
      <c r="B16" s="43" t="n">
        <v>46326</v>
      </c>
      <c r="C16" s="10" t="s">
        <v>177</v>
      </c>
      <c r="D16" s="10" t="str">
        <f aca="false">IFERROR(INDEX(Participants!$B$4:$B$15,MATCH(C16,Participants!$A$4:$A$15,0)),"NOT FOUND")</f>
        <v>Marisol Reyes</v>
      </c>
      <c r="E16" s="10" t="s">
        <v>384</v>
      </c>
      <c r="F16" s="10" t="s">
        <v>282</v>
      </c>
      <c r="G16" s="10" t="s">
        <v>1103</v>
      </c>
      <c r="H16" s="10" t="s">
        <v>1108</v>
      </c>
      <c r="I16" s="10" t="n">
        <v>4</v>
      </c>
      <c r="J16" s="10" t="s">
        <v>1105</v>
      </c>
      <c r="K16" s="10" t="s">
        <v>1136</v>
      </c>
    </row>
    <row r="17" customFormat="false" ht="15" hidden="false" customHeight="true" outlineLevel="0" collapsed="false">
      <c r="A17" s="10" t="s">
        <v>1137</v>
      </c>
      <c r="B17" s="43" t="n">
        <v>46327</v>
      </c>
      <c r="C17" s="10" t="s">
        <v>220</v>
      </c>
      <c r="D17" s="10" t="str">
        <f aca="false">IFERROR(INDEX(Participants!$B$4:$B$15,MATCH(C17,Participants!$A$4:$A$15,0)),"NOT FOUND")</f>
        <v>Ravi Patel</v>
      </c>
      <c r="E17" s="10" t="s">
        <v>369</v>
      </c>
      <c r="F17" s="10" t="s">
        <v>282</v>
      </c>
      <c r="G17" s="10" t="s">
        <v>1103</v>
      </c>
      <c r="H17" s="10" t="s">
        <v>1108</v>
      </c>
      <c r="I17" s="10" t="n">
        <v>4</v>
      </c>
      <c r="J17" s="10" t="s">
        <v>1105</v>
      </c>
      <c r="K17" s="10" t="s">
        <v>1138</v>
      </c>
    </row>
    <row r="18" customFormat="false" ht="15" hidden="false" customHeight="true" outlineLevel="0" collapsed="false">
      <c r="A18" s="10" t="s">
        <v>1139</v>
      </c>
      <c r="B18" s="43" t="n">
        <v>46322</v>
      </c>
      <c r="C18" s="10" t="s">
        <v>216</v>
      </c>
      <c r="D18" s="10" t="str">
        <f aca="false">IFERROR(INDEX(Participants!$B$4:$B$15,MATCH(C18,Participants!$A$4:$A$15,0)),"NOT FOUND")</f>
        <v>Samuel Osei</v>
      </c>
      <c r="E18" s="10" t="s">
        <v>386</v>
      </c>
      <c r="F18" s="10" t="s">
        <v>248</v>
      </c>
      <c r="G18" s="10" t="s">
        <v>1103</v>
      </c>
      <c r="H18" s="10" t="s">
        <v>1140</v>
      </c>
      <c r="I18" s="10" t="n">
        <v>1.5</v>
      </c>
      <c r="J18" s="10" t="s">
        <v>1105</v>
      </c>
      <c r="K18" s="10" t="s">
        <v>1141</v>
      </c>
    </row>
    <row r="19" customFormat="false" ht="15" hidden="false" customHeight="true" outlineLevel="0" collapsed="false">
      <c r="A19" s="10" t="s">
        <v>1142</v>
      </c>
      <c r="B19" s="43" t="n">
        <v>46324</v>
      </c>
      <c r="C19" s="10" t="s">
        <v>197</v>
      </c>
      <c r="D19" s="10" t="str">
        <f aca="false">IFERROR(INDEX(Participants!$B$4:$B$15,MATCH(C19,Participants!$A$4:$A$15,0)),"NOT FOUND")</f>
        <v>Priya Nair</v>
      </c>
      <c r="E19" s="10" t="s">
        <v>381</v>
      </c>
      <c r="F19" s="10" t="s">
        <v>287</v>
      </c>
      <c r="G19" s="10" t="s">
        <v>1103</v>
      </c>
      <c r="H19" s="10" t="s">
        <v>1143</v>
      </c>
      <c r="I19" s="10" t="n">
        <v>3</v>
      </c>
      <c r="J19" s="10" t="s">
        <v>1105</v>
      </c>
      <c r="K19" s="10" t="s">
        <v>1144</v>
      </c>
    </row>
  </sheetData>
  <autoFilter ref="A3:K2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1"/>
    <col collapsed="false" customWidth="true" hidden="false" outlineLevel="0" max="2" min="2" style="1" width="42"/>
  </cols>
  <sheetData>
    <row r="1" customFormat="false" ht="17.25" hidden="false" customHeight="true" outlineLevel="0" collapsed="false">
      <c r="A1" s="14" t="s">
        <v>1145</v>
      </c>
    </row>
    <row r="2" customFormat="false" ht="15" hidden="false" customHeight="true" outlineLevel="0" collapsed="false">
      <c r="A2" s="42" t="s">
        <v>1146</v>
      </c>
    </row>
    <row r="3" customFormat="false" ht="15" hidden="false" customHeight="true" outlineLevel="0" collapsed="false">
      <c r="A3" s="36" t="s">
        <v>653</v>
      </c>
      <c r="B3" s="36" t="s">
        <v>126</v>
      </c>
    </row>
    <row r="4" customFormat="false" ht="27.75" hidden="false" customHeight="true" outlineLevel="0" collapsed="false">
      <c r="A4" s="10" t="s">
        <v>225</v>
      </c>
      <c r="B4" s="10" t="s">
        <v>1147</v>
      </c>
    </row>
    <row r="5" customFormat="false" ht="15" hidden="false" customHeight="true" outlineLevel="0" collapsed="false">
      <c r="A5" s="10" t="s">
        <v>1148</v>
      </c>
      <c r="B5" s="10" t="s">
        <v>1149</v>
      </c>
    </row>
    <row r="6" customFormat="false" ht="41.25" hidden="false" customHeight="true" outlineLevel="0" collapsed="false">
      <c r="A6" s="10" t="s">
        <v>1150</v>
      </c>
      <c r="B6" s="10" t="s">
        <v>1151</v>
      </c>
    </row>
    <row r="7" customFormat="false" ht="27.75" hidden="false" customHeight="true" outlineLevel="0" collapsed="false">
      <c r="A7" s="10" t="s">
        <v>140</v>
      </c>
      <c r="B7" s="10" t="s">
        <v>1152</v>
      </c>
    </row>
    <row r="8" customFormat="false" ht="27.75" hidden="false" customHeight="true" outlineLevel="0" collapsed="false">
      <c r="A8" s="10" t="s">
        <v>1056</v>
      </c>
      <c r="B8" s="10" t="s">
        <v>1153</v>
      </c>
    </row>
    <row r="9" customFormat="false" ht="41.25" hidden="false" customHeight="true" outlineLevel="0" collapsed="false">
      <c r="A9" s="10" t="s">
        <v>1154</v>
      </c>
      <c r="B9" s="10" t="s">
        <v>1155</v>
      </c>
    </row>
    <row r="10" customFormat="false" ht="27.75" hidden="false" customHeight="true" outlineLevel="0" collapsed="false">
      <c r="A10" s="10" t="s">
        <v>1156</v>
      </c>
      <c r="B10" s="10" t="s">
        <v>1157</v>
      </c>
    </row>
    <row r="11" customFormat="false" ht="27.75" hidden="false" customHeight="true" outlineLevel="0" collapsed="false">
      <c r="A11" s="10" t="s">
        <v>1158</v>
      </c>
      <c r="B11" s="10" t="s">
        <v>1159</v>
      </c>
    </row>
  </sheetData>
  <autoFilter ref="A3:B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5"/>
  </cols>
  <sheetData>
    <row r="1" customFormat="false" ht="17.25" hidden="false" customHeight="true" outlineLevel="0" collapsed="false">
      <c r="A1" s="14" t="s">
        <v>1160</v>
      </c>
    </row>
    <row r="2" customFormat="false" ht="15" hidden="false" customHeight="true" outlineLevel="0" collapsed="false">
      <c r="A2" s="42" t="s">
        <v>1161</v>
      </c>
    </row>
    <row r="3" customFormat="false" ht="27.75" hidden="false" customHeight="true" outlineLevel="0" collapsed="false">
      <c r="A3" s="36" t="s">
        <v>653</v>
      </c>
      <c r="B3" s="36" t="s">
        <v>789</v>
      </c>
    </row>
    <row r="4" customFormat="false" ht="15" hidden="false" customHeight="true" outlineLevel="0" collapsed="false">
      <c r="A4" s="10" t="s">
        <v>1162</v>
      </c>
      <c r="B4" s="10"/>
    </row>
    <row r="5" customFormat="false" ht="15" hidden="false" customHeight="true" outlineLevel="0" collapsed="false">
      <c r="A5" s="10" t="s">
        <v>1163</v>
      </c>
      <c r="B5" s="10"/>
    </row>
    <row r="6" customFormat="false" ht="15" hidden="false" customHeight="true" outlineLevel="0" collapsed="false">
      <c r="A6" s="10" t="s">
        <v>1164</v>
      </c>
      <c r="B6" s="10"/>
    </row>
    <row r="7" customFormat="false" ht="15" hidden="false" customHeight="true" outlineLevel="0" collapsed="false">
      <c r="A7" s="10" t="s">
        <v>1165</v>
      </c>
      <c r="B7" s="10"/>
    </row>
    <row r="8" customFormat="false" ht="15" hidden="false" customHeight="true" outlineLevel="0" collapsed="false">
      <c r="A8" s="10" t="s">
        <v>1166</v>
      </c>
      <c r="B8" s="10"/>
    </row>
    <row r="9" customFormat="false" ht="15" hidden="false" customHeight="true" outlineLevel="0" collapsed="false">
      <c r="A9" s="10" t="s">
        <v>1167</v>
      </c>
      <c r="B9" s="10"/>
    </row>
    <row r="10" customFormat="false" ht="15" hidden="false" customHeight="true" outlineLevel="0" collapsed="false">
      <c r="A10" s="10" t="s">
        <v>1168</v>
      </c>
      <c r="B10" s="10"/>
    </row>
    <row r="11" customFormat="false" ht="15" hidden="false" customHeight="true" outlineLevel="0" collapsed="false">
      <c r="A11" s="10" t="s">
        <v>1169</v>
      </c>
      <c r="B11" s="10"/>
    </row>
  </sheetData>
  <autoFilter ref="A3:B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8"/>
    <col collapsed="false" customWidth="true" hidden="false" outlineLevel="0" max="3" min="3" style="1" width="37"/>
    <col collapsed="false" customWidth="true" hidden="false" outlineLevel="0" max="4" min="4" style="1" width="17"/>
  </cols>
  <sheetData>
    <row r="1" customFormat="false" ht="17.25" hidden="false" customHeight="true" outlineLevel="0" collapsed="false">
      <c r="A1" s="14" t="s">
        <v>1170</v>
      </c>
    </row>
    <row r="2" customFormat="false" ht="15" hidden="false" customHeight="true" outlineLevel="0" collapsed="false">
      <c r="A2" s="42" t="s">
        <v>1171</v>
      </c>
    </row>
    <row r="3" customFormat="false" ht="27.75" hidden="false" customHeight="true" outlineLevel="0" collapsed="false">
      <c r="A3" s="36" t="s">
        <v>1172</v>
      </c>
      <c r="B3" s="36" t="s">
        <v>1173</v>
      </c>
      <c r="C3" s="36" t="s">
        <v>1174</v>
      </c>
      <c r="D3" s="36" t="s">
        <v>1175</v>
      </c>
    </row>
    <row r="4" customFormat="false" ht="15" hidden="false" customHeight="true" outlineLevel="0" collapsed="false">
      <c r="A4" s="10" t="s">
        <v>1176</v>
      </c>
      <c r="B4" s="10" t="s">
        <v>1177</v>
      </c>
      <c r="C4" s="10" t="s">
        <v>1178</v>
      </c>
      <c r="D4" s="10"/>
    </row>
    <row r="5" customFormat="false" ht="15" hidden="false" customHeight="true" outlineLevel="0" collapsed="false">
      <c r="A5" s="10" t="s">
        <v>1179</v>
      </c>
      <c r="B5" s="10" t="s">
        <v>1180</v>
      </c>
      <c r="C5" s="10" t="s">
        <v>1181</v>
      </c>
      <c r="D5" s="10"/>
    </row>
    <row r="6" customFormat="false" ht="15" hidden="false" customHeight="true" outlineLevel="0" collapsed="false">
      <c r="A6" s="10" t="s">
        <v>1182</v>
      </c>
      <c r="B6" s="10" t="s">
        <v>959</v>
      </c>
      <c r="C6" s="10" t="s">
        <v>1183</v>
      </c>
      <c r="D6" s="10"/>
    </row>
    <row r="7" customFormat="false" ht="15" hidden="false" customHeight="true" outlineLevel="0" collapsed="false">
      <c r="A7" s="1" t="s">
        <v>1184</v>
      </c>
      <c r="B7" s="1" t="s">
        <v>1185</v>
      </c>
      <c r="C7" s="1" t="s">
        <v>1186</v>
      </c>
    </row>
  </sheetData>
  <autoFilter ref="A3:D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1"/>
    <col collapsed="false" customWidth="true" hidden="false" outlineLevel="0" max="3" min="3" style="1" width="21"/>
    <col collapsed="false" customWidth="true" hidden="false" outlineLevel="0" max="4" min="4" style="1" width="17"/>
  </cols>
  <sheetData>
    <row r="1" customFormat="false" ht="17.25" hidden="false" customHeight="true" outlineLevel="0" collapsed="false">
      <c r="A1" s="14" t="s">
        <v>1187</v>
      </c>
    </row>
    <row r="2" customFormat="false" ht="15" hidden="false" customHeight="true" outlineLevel="0" collapsed="false">
      <c r="A2" s="42" t="s">
        <v>1188</v>
      </c>
    </row>
    <row r="3" customFormat="false" ht="27.75" hidden="false" customHeight="true" outlineLevel="0" collapsed="false">
      <c r="A3" s="36" t="s">
        <v>1189</v>
      </c>
      <c r="B3" s="36" t="s">
        <v>1173</v>
      </c>
      <c r="C3" s="36" t="s">
        <v>1190</v>
      </c>
      <c r="D3" s="36" t="s">
        <v>1175</v>
      </c>
    </row>
    <row r="4" customFormat="false" ht="15" hidden="false" customHeight="true" outlineLevel="0" collapsed="false">
      <c r="A4" s="10" t="s">
        <v>1191</v>
      </c>
      <c r="B4" s="10" t="s">
        <v>28</v>
      </c>
      <c r="C4" s="10" t="s">
        <v>1192</v>
      </c>
      <c r="D4" s="10"/>
    </row>
    <row r="5" customFormat="false" ht="15" hidden="false" customHeight="true" outlineLevel="0" collapsed="false">
      <c r="A5" s="10" t="s">
        <v>1193</v>
      </c>
      <c r="B5" s="10" t="s">
        <v>1194</v>
      </c>
      <c r="C5" s="10" t="s">
        <v>1195</v>
      </c>
      <c r="D5" s="10"/>
    </row>
    <row r="6" customFormat="false" ht="15" hidden="false" customHeight="true" outlineLevel="0" collapsed="false">
      <c r="A6" s="10" t="s">
        <v>1196</v>
      </c>
      <c r="B6" s="10" t="s">
        <v>871</v>
      </c>
      <c r="C6" s="10" t="s">
        <v>1197</v>
      </c>
      <c r="D6" s="10"/>
    </row>
    <row r="7" customFormat="false" ht="15" hidden="false" customHeight="true" outlineLevel="0" collapsed="false">
      <c r="A7" s="10" t="s">
        <v>1198</v>
      </c>
      <c r="B7" s="10" t="s">
        <v>815</v>
      </c>
      <c r="C7" s="10" t="s">
        <v>1199</v>
      </c>
      <c r="D7" s="10"/>
    </row>
    <row r="8" customFormat="false" ht="15" hidden="false" customHeight="true" outlineLevel="0" collapsed="false">
      <c r="A8" s="10" t="s">
        <v>1200</v>
      </c>
      <c r="B8" s="10" t="s">
        <v>1201</v>
      </c>
      <c r="C8" s="10" t="s">
        <v>1202</v>
      </c>
      <c r="D8" s="10"/>
    </row>
  </sheetData>
  <autoFilter ref="A3:D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29"/>
    <col collapsed="false" customWidth="true" hidden="false" outlineLevel="0" max="3" min="3" style="1" width="22"/>
    <col collapsed="false" customWidth="true" hidden="false" outlineLevel="0" max="4" min="4" style="1" width="10"/>
  </cols>
  <sheetData>
    <row r="1" customFormat="false" ht="17.25" hidden="false" customHeight="true" outlineLevel="0" collapsed="false">
      <c r="A1" s="14" t="s">
        <v>1203</v>
      </c>
    </row>
    <row r="2" customFormat="false" ht="15" hidden="false" customHeight="true" outlineLevel="0" collapsed="false">
      <c r="A2" s="42" t="s">
        <v>1204</v>
      </c>
    </row>
    <row r="3" customFormat="false" ht="27.75" hidden="false" customHeight="true" outlineLevel="0" collapsed="false">
      <c r="A3" s="36" t="s">
        <v>1205</v>
      </c>
      <c r="B3" s="36" t="s">
        <v>1206</v>
      </c>
      <c r="C3" s="36" t="s">
        <v>1207</v>
      </c>
      <c r="D3" s="36" t="s">
        <v>1208</v>
      </c>
    </row>
    <row r="4" customFormat="false" ht="15" hidden="false" customHeight="true" outlineLevel="0" collapsed="false">
      <c r="A4" s="10" t="s">
        <v>1209</v>
      </c>
      <c r="B4" s="10" t="s">
        <v>1210</v>
      </c>
      <c r="C4" s="10"/>
      <c r="D4" s="10"/>
    </row>
    <row r="5" customFormat="false" ht="15" hidden="false" customHeight="true" outlineLevel="0" collapsed="false">
      <c r="A5" s="10" t="s">
        <v>1211</v>
      </c>
      <c r="B5" s="10" t="s">
        <v>1212</v>
      </c>
      <c r="C5" s="10"/>
      <c r="D5" s="10"/>
    </row>
    <row r="6" customFormat="false" ht="15" hidden="false" customHeight="true" outlineLevel="0" collapsed="false">
      <c r="A6" s="10" t="s">
        <v>1213</v>
      </c>
      <c r="B6" s="10" t="s">
        <v>1214</v>
      </c>
      <c r="C6" s="10"/>
      <c r="D6" s="10"/>
    </row>
    <row r="7" customFormat="false" ht="15" hidden="false" customHeight="true" outlineLevel="0" collapsed="false">
      <c r="A7" s="10" t="s">
        <v>1215</v>
      </c>
      <c r="B7" s="10" t="s">
        <v>1216</v>
      </c>
      <c r="C7" s="10"/>
      <c r="D7" s="10"/>
    </row>
    <row r="8" customFormat="false" ht="15" hidden="false" customHeight="true" outlineLevel="0" collapsed="false">
      <c r="A8" s="10" t="s">
        <v>1217</v>
      </c>
      <c r="B8" s="10" t="s">
        <v>1218</v>
      </c>
      <c r="C8" s="10"/>
      <c r="D8" s="10"/>
    </row>
  </sheetData>
  <autoFilter ref="A3:D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7"/>
    <col collapsed="false" customWidth="true" hidden="false" outlineLevel="0" max="3" min="3" style="1" width="42"/>
    <col collapsed="false" customWidth="true" hidden="false" outlineLevel="0" max="4" min="4" style="1" width="27"/>
  </cols>
  <sheetData>
    <row r="1" customFormat="false" ht="17.25" hidden="false" customHeight="true" outlineLevel="0" collapsed="false">
      <c r="A1" s="14" t="s">
        <v>1219</v>
      </c>
    </row>
    <row r="2" customFormat="false" ht="15" hidden="false" customHeight="true" outlineLevel="0" collapsed="false">
      <c r="A2" s="42" t="s">
        <v>1220</v>
      </c>
    </row>
    <row r="3" customFormat="false" ht="27.75" hidden="false" customHeight="true" outlineLevel="0" collapsed="false">
      <c r="A3" s="36" t="s">
        <v>1221</v>
      </c>
      <c r="B3" s="36" t="s">
        <v>1222</v>
      </c>
      <c r="C3" s="36" t="s">
        <v>1223</v>
      </c>
      <c r="D3" s="36" t="s">
        <v>1224</v>
      </c>
    </row>
    <row r="4" customFormat="false" ht="27.75" hidden="false" customHeight="true" outlineLevel="0" collapsed="false">
      <c r="A4" s="10" t="s">
        <v>1225</v>
      </c>
      <c r="B4" s="10" t="s">
        <v>1226</v>
      </c>
      <c r="C4" s="10" t="s">
        <v>1227</v>
      </c>
      <c r="D4" s="10"/>
    </row>
    <row r="5" customFormat="false" ht="27.75" hidden="false" customHeight="true" outlineLevel="0" collapsed="false">
      <c r="A5" s="10" t="s">
        <v>1228</v>
      </c>
      <c r="B5" s="10" t="s">
        <v>1229</v>
      </c>
      <c r="C5" s="10" t="s">
        <v>1230</v>
      </c>
      <c r="D5" s="10"/>
    </row>
    <row r="6" customFormat="false" ht="27.75" hidden="false" customHeight="true" outlineLevel="0" collapsed="false">
      <c r="A6" s="10" t="s">
        <v>1231</v>
      </c>
      <c r="B6" s="10" t="s">
        <v>1232</v>
      </c>
      <c r="C6" s="10" t="s">
        <v>1233</v>
      </c>
      <c r="D6" s="10"/>
    </row>
    <row r="7" customFormat="false" ht="27.75" hidden="false" customHeight="true" outlineLevel="0" collapsed="false">
      <c r="A7" s="10" t="s">
        <v>1234</v>
      </c>
      <c r="B7" s="10" t="s">
        <v>1235</v>
      </c>
      <c r="C7" s="10" t="s">
        <v>1236</v>
      </c>
      <c r="D7" s="10"/>
    </row>
  </sheetData>
  <autoFilter ref="A3:D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5"/>
  </cols>
  <sheetData>
    <row r="1" customFormat="false" ht="17.25" hidden="false" customHeight="true" outlineLevel="0" collapsed="false">
      <c r="A1" s="14" t="s">
        <v>1237</v>
      </c>
    </row>
    <row r="2" customFormat="false" ht="15" hidden="false" customHeight="true" outlineLevel="0" collapsed="false">
      <c r="A2" s="42" t="s">
        <v>1238</v>
      </c>
    </row>
    <row r="3" customFormat="false" ht="27.75" hidden="false" customHeight="true" outlineLevel="0" collapsed="false">
      <c r="A3" s="36" t="s">
        <v>653</v>
      </c>
      <c r="B3" s="36" t="s">
        <v>789</v>
      </c>
    </row>
    <row r="4" customFormat="false" ht="15" hidden="false" customHeight="true" outlineLevel="0" collapsed="false">
      <c r="A4" s="10" t="s">
        <v>1239</v>
      </c>
      <c r="B4" s="10"/>
    </row>
    <row r="5" customFormat="false" ht="15" hidden="false" customHeight="true" outlineLevel="0" collapsed="false">
      <c r="A5" s="10" t="s">
        <v>1240</v>
      </c>
      <c r="B5" s="10"/>
    </row>
    <row r="6" customFormat="false" ht="15" hidden="false" customHeight="true" outlineLevel="0" collapsed="false">
      <c r="A6" s="10" t="s">
        <v>1241</v>
      </c>
      <c r="B6" s="10"/>
    </row>
    <row r="7" customFormat="false" ht="15" hidden="false" customHeight="true" outlineLevel="0" collapsed="false">
      <c r="A7" s="10" t="s">
        <v>1242</v>
      </c>
      <c r="B7" s="10"/>
    </row>
    <row r="8" customFormat="false" ht="15" hidden="false" customHeight="true" outlineLevel="0" collapsed="false">
      <c r="A8" s="10" t="s">
        <v>572</v>
      </c>
      <c r="B8" s="10"/>
    </row>
    <row r="9" customFormat="false" ht="15" hidden="false" customHeight="true" outlineLevel="0" collapsed="false">
      <c r="A9" s="10" t="s">
        <v>1243</v>
      </c>
      <c r="B9" s="10"/>
    </row>
    <row r="10" customFormat="false" ht="15" hidden="false" customHeight="true" outlineLevel="0" collapsed="false">
      <c r="A10" s="10" t="s">
        <v>616</v>
      </c>
      <c r="B10" s="10"/>
    </row>
    <row r="11" customFormat="false" ht="15" hidden="false" customHeight="true" outlineLevel="0" collapsed="false">
      <c r="A11" s="10" t="s">
        <v>1244</v>
      </c>
      <c r="B11" s="10"/>
    </row>
    <row r="12" customFormat="false" ht="15" hidden="false" customHeight="true" outlineLevel="0" collapsed="false">
      <c r="A12" s="10" t="s">
        <v>1245</v>
      </c>
      <c r="B12" s="10"/>
    </row>
    <row r="13" customFormat="false" ht="15" hidden="false" customHeight="true" outlineLevel="0" collapsed="false">
      <c r="A13" s="10" t="s">
        <v>1246</v>
      </c>
      <c r="B13" s="10"/>
    </row>
  </sheetData>
  <autoFilter ref="A3:B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1" width="42"/>
    <col collapsed="false" customWidth="true" hidden="false" outlineLevel="0" max="3" min="3" style="1" width="20"/>
    <col collapsed="false" customWidth="true" hidden="false" outlineLevel="0" max="4" min="4" style="1" width="10"/>
  </cols>
  <sheetData>
    <row r="1" customFormat="false" ht="17.25" hidden="false" customHeight="true" outlineLevel="0" collapsed="false">
      <c r="A1" s="14" t="s">
        <v>1247</v>
      </c>
    </row>
    <row r="2" customFormat="false" ht="15" hidden="false" customHeight="true" outlineLevel="0" collapsed="false">
      <c r="A2" s="42" t="s">
        <v>1248</v>
      </c>
    </row>
    <row r="3" customFormat="false" ht="27.75" hidden="false" customHeight="true" outlineLevel="0" collapsed="false">
      <c r="A3" s="36" t="s">
        <v>1249</v>
      </c>
      <c r="B3" s="36" t="s">
        <v>1250</v>
      </c>
      <c r="C3" s="36" t="s">
        <v>1251</v>
      </c>
      <c r="D3" s="36" t="s">
        <v>1208</v>
      </c>
    </row>
    <row r="4" customFormat="false" ht="15" hidden="false" customHeight="true" outlineLevel="0" collapsed="false">
      <c r="A4" s="10" t="s">
        <v>1252</v>
      </c>
      <c r="B4" s="10" t="s">
        <v>1253</v>
      </c>
      <c r="C4" s="10"/>
      <c r="D4" s="10"/>
    </row>
    <row r="5" customFormat="false" ht="15" hidden="false" customHeight="true" outlineLevel="0" collapsed="false">
      <c r="A5" s="10" t="s">
        <v>1254</v>
      </c>
      <c r="B5" s="10" t="s">
        <v>1255</v>
      </c>
      <c r="C5" s="10"/>
      <c r="D5" s="10"/>
    </row>
    <row r="6" customFormat="false" ht="15" hidden="false" customHeight="true" outlineLevel="0" collapsed="false">
      <c r="A6" s="10" t="s">
        <v>1256</v>
      </c>
      <c r="B6" s="10" t="s">
        <v>1257</v>
      </c>
      <c r="C6" s="10"/>
      <c r="D6" s="10"/>
    </row>
    <row r="7" customFormat="false" ht="15" hidden="false" customHeight="true" outlineLevel="0" collapsed="false">
      <c r="A7" s="10" t="s">
        <v>1258</v>
      </c>
      <c r="B7" s="10" t="s">
        <v>1259</v>
      </c>
      <c r="C7" s="10"/>
      <c r="D7" s="10"/>
    </row>
    <row r="8" customFormat="false" ht="15" hidden="false" customHeight="true" outlineLevel="0" collapsed="false">
      <c r="A8" s="10" t="s">
        <v>1260</v>
      </c>
      <c r="B8" s="10" t="s">
        <v>1261</v>
      </c>
      <c r="C8" s="10"/>
      <c r="D8" s="10"/>
    </row>
  </sheetData>
  <autoFilter ref="A3:D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22"/>
    <col collapsed="false" customWidth="true" hidden="false" outlineLevel="0" max="3" min="3" style="1" width="42"/>
    <col collapsed="false" customWidth="true" hidden="false" outlineLevel="0" max="4" min="4" style="1" width="18"/>
  </cols>
  <sheetData>
    <row r="1" customFormat="false" ht="17.25" hidden="false" customHeight="true" outlineLevel="0" collapsed="false">
      <c r="A1" s="14" t="s">
        <v>1262</v>
      </c>
    </row>
    <row r="2" customFormat="false" ht="15" hidden="false" customHeight="true" outlineLevel="0" collapsed="false">
      <c r="A2" s="42" t="s">
        <v>1263</v>
      </c>
    </row>
    <row r="3" customFormat="false" ht="27.75" hidden="false" customHeight="true" outlineLevel="0" collapsed="false">
      <c r="A3" s="36" t="s">
        <v>1264</v>
      </c>
      <c r="B3" s="36" t="s">
        <v>1265</v>
      </c>
      <c r="C3" s="36" t="s">
        <v>943</v>
      </c>
      <c r="D3" s="36" t="s">
        <v>1266</v>
      </c>
    </row>
    <row r="4" customFormat="false" ht="15" hidden="false" customHeight="true" outlineLevel="0" collapsed="false">
      <c r="A4" s="10" t="s">
        <v>1267</v>
      </c>
      <c r="B4" s="10" t="s">
        <v>1201</v>
      </c>
      <c r="C4" s="10" t="s">
        <v>1268</v>
      </c>
      <c r="D4" s="10"/>
    </row>
    <row r="5" customFormat="false" ht="27.75" hidden="false" customHeight="true" outlineLevel="0" collapsed="false">
      <c r="A5" s="10" t="s">
        <v>1269</v>
      </c>
      <c r="B5" s="10" t="s">
        <v>1270</v>
      </c>
      <c r="C5" s="10" t="s">
        <v>1271</v>
      </c>
      <c r="D5" s="10"/>
    </row>
    <row r="6" customFormat="false" ht="15" hidden="false" customHeight="true" outlineLevel="0" collapsed="false">
      <c r="A6" s="10" t="s">
        <v>1272</v>
      </c>
      <c r="B6" s="10" t="s">
        <v>1273</v>
      </c>
      <c r="C6" s="10" t="s">
        <v>1274</v>
      </c>
      <c r="D6" s="10"/>
    </row>
  </sheetData>
  <autoFilter ref="A3:D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21"/>
    <col collapsed="false" customWidth="true" hidden="false" outlineLevel="0" max="3" min="3" style="1" width="17"/>
    <col collapsed="false" customWidth="true" hidden="false" outlineLevel="0" max="4" min="4" style="1" width="14"/>
    <col collapsed="false" customWidth="true" hidden="false" outlineLevel="0" max="5" min="5" style="1" width="26"/>
    <col collapsed="false" customWidth="true" hidden="false" outlineLevel="0" max="6" min="6" style="1" width="10"/>
    <col collapsed="false" customWidth="true" hidden="false" outlineLevel="0" max="7" min="7" style="1" width="33"/>
    <col collapsed="false" customWidth="true" hidden="false" outlineLevel="0" max="8" min="8" style="1" width="10"/>
    <col collapsed="false" customWidth="true" hidden="false" outlineLevel="0" max="9" min="9" style="1" width="16"/>
  </cols>
  <sheetData>
    <row r="1" customFormat="false" ht="17.25" hidden="false" customHeight="true" outlineLevel="0" collapsed="false">
      <c r="A1" s="14" t="s">
        <v>1275</v>
      </c>
    </row>
    <row r="2" customFormat="false" ht="15" hidden="false" customHeight="true" outlineLevel="0" collapsed="false">
      <c r="A2" s="42" t="s">
        <v>1276</v>
      </c>
    </row>
    <row r="3" customFormat="false" ht="27.75" hidden="false" customHeight="true" outlineLevel="0" collapsed="false">
      <c r="A3" s="36" t="s">
        <v>1277</v>
      </c>
      <c r="B3" s="36" t="s">
        <v>1278</v>
      </c>
      <c r="C3" s="36" t="s">
        <v>1279</v>
      </c>
      <c r="D3" s="36" t="s">
        <v>1280</v>
      </c>
      <c r="E3" s="36" t="s">
        <v>1281</v>
      </c>
      <c r="F3" s="36" t="s">
        <v>366</v>
      </c>
      <c r="G3" s="36" t="s">
        <v>1282</v>
      </c>
      <c r="H3" s="36" t="s">
        <v>1283</v>
      </c>
      <c r="I3" s="36" t="s">
        <v>1284</v>
      </c>
    </row>
  </sheetData>
  <autoFilter ref="A3:I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3" min="1" style="1" width="42"/>
    <col collapsed="false" customWidth="true" hidden="false" outlineLevel="0" max="4" min="4" style="1" width="18"/>
    <col collapsed="false" customWidth="true" hidden="false" outlineLevel="0" max="5" min="5" style="1" width="24"/>
    <col collapsed="false" customWidth="true" hidden="false" outlineLevel="0" max="6" min="6" style="1" width="23"/>
    <col collapsed="false" customWidth="true" hidden="false" outlineLevel="0" max="7" min="7" style="1" width="20"/>
    <col collapsed="false" customWidth="true" hidden="false" outlineLevel="0" max="8" min="8" style="1" width="11"/>
    <col collapsed="false" customWidth="true" hidden="false" outlineLevel="0" max="9" min="9" style="1" width="10"/>
  </cols>
  <sheetData>
    <row r="1" customFormat="false" ht="17.25" hidden="false" customHeight="true" outlineLevel="0" collapsed="false">
      <c r="A1" s="14" t="s">
        <v>1285</v>
      </c>
    </row>
    <row r="2" customFormat="false" ht="15" hidden="false" customHeight="true" outlineLevel="0" collapsed="false">
      <c r="A2" s="42" t="s">
        <v>1286</v>
      </c>
    </row>
    <row r="3" customFormat="false" ht="27.75" hidden="false" customHeight="true" outlineLevel="0" collapsed="false">
      <c r="A3" s="36" t="s">
        <v>1287</v>
      </c>
      <c r="B3" s="36" t="s">
        <v>632</v>
      </c>
      <c r="C3" s="36" t="s">
        <v>829</v>
      </c>
      <c r="D3" s="36" t="s">
        <v>967</v>
      </c>
      <c r="E3" s="36" t="s">
        <v>968</v>
      </c>
      <c r="F3" s="36" t="s">
        <v>1288</v>
      </c>
      <c r="G3" s="36" t="s">
        <v>572</v>
      </c>
      <c r="H3" s="36" t="s">
        <v>971</v>
      </c>
      <c r="I3" s="36" t="s">
        <v>821</v>
      </c>
    </row>
    <row r="4" customFormat="false" ht="27.75" hidden="false" customHeight="true" outlineLevel="0" collapsed="false">
      <c r="A4" s="10" t="s">
        <v>1289</v>
      </c>
      <c r="B4" s="10" t="s">
        <v>1290</v>
      </c>
      <c r="C4" s="10" t="s">
        <v>1291</v>
      </c>
      <c r="D4" s="10"/>
      <c r="E4" s="10"/>
      <c r="F4" s="10"/>
      <c r="G4" s="10" t="s">
        <v>243</v>
      </c>
      <c r="H4" s="10"/>
      <c r="I4" s="10"/>
    </row>
    <row r="5" customFormat="false" ht="27.75" hidden="false" customHeight="true" outlineLevel="0" collapsed="false">
      <c r="A5" s="10" t="s">
        <v>1292</v>
      </c>
      <c r="B5" s="10" t="s">
        <v>1293</v>
      </c>
      <c r="C5" s="10" t="s">
        <v>1294</v>
      </c>
      <c r="D5" s="10"/>
      <c r="E5" s="10"/>
      <c r="F5" s="10"/>
      <c r="G5" s="10" t="s">
        <v>243</v>
      </c>
      <c r="H5" s="10"/>
      <c r="I5" s="10"/>
    </row>
    <row r="6" customFormat="false" ht="27.75" hidden="false" customHeight="true" outlineLevel="0" collapsed="false">
      <c r="A6" s="10" t="s">
        <v>1295</v>
      </c>
      <c r="B6" s="10" t="s">
        <v>1296</v>
      </c>
      <c r="C6" s="10" t="s">
        <v>1297</v>
      </c>
      <c r="D6" s="10"/>
      <c r="E6" s="10"/>
      <c r="F6" s="10"/>
      <c r="G6" s="10" t="s">
        <v>243</v>
      </c>
      <c r="H6" s="10"/>
      <c r="I6" s="10"/>
    </row>
  </sheetData>
  <autoFilter ref="A3:I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1" width="42"/>
    <col collapsed="false" customWidth="true" hidden="false" outlineLevel="0" max="4" min="3" style="1" width="16"/>
    <col collapsed="false" customWidth="true" hidden="false" outlineLevel="0" max="5" min="5" style="1" width="11"/>
  </cols>
  <sheetData>
    <row r="1" customFormat="false" ht="17.25" hidden="false" customHeight="true" outlineLevel="0" collapsed="false">
      <c r="A1" s="14" t="s">
        <v>1298</v>
      </c>
    </row>
    <row r="2" customFormat="false" ht="15" hidden="false" customHeight="true" outlineLevel="0" collapsed="false">
      <c r="A2" s="42" t="s">
        <v>1299</v>
      </c>
    </row>
    <row r="3" customFormat="false" ht="27.75" hidden="false" customHeight="true" outlineLevel="0" collapsed="false">
      <c r="A3" s="36" t="s">
        <v>1287</v>
      </c>
      <c r="B3" s="36" t="s">
        <v>632</v>
      </c>
      <c r="C3" s="36" t="s">
        <v>828</v>
      </c>
      <c r="D3" s="36" t="s">
        <v>1300</v>
      </c>
      <c r="E3" s="36" t="s">
        <v>971</v>
      </c>
    </row>
    <row r="4" customFormat="false" ht="27.75" hidden="false" customHeight="true" outlineLevel="0" collapsed="false">
      <c r="A4" s="10" t="s">
        <v>1301</v>
      </c>
      <c r="B4" s="10" t="s">
        <v>1302</v>
      </c>
      <c r="C4" s="10"/>
      <c r="D4" s="10"/>
      <c r="E4" s="10"/>
    </row>
    <row r="5" customFormat="false" ht="27.75" hidden="false" customHeight="true" outlineLevel="0" collapsed="false">
      <c r="A5" s="10" t="s">
        <v>1303</v>
      </c>
      <c r="B5" s="10" t="s">
        <v>1304</v>
      </c>
      <c r="C5" s="10"/>
      <c r="D5" s="10"/>
      <c r="E5" s="10"/>
    </row>
    <row r="6" customFormat="false" ht="27.75" hidden="false" customHeight="true" outlineLevel="0" collapsed="false">
      <c r="A6" s="10" t="s">
        <v>1305</v>
      </c>
      <c r="B6" s="10" t="s">
        <v>1306</v>
      </c>
      <c r="C6" s="10"/>
      <c r="D6" s="10"/>
      <c r="E6" s="10"/>
    </row>
  </sheetData>
  <autoFilter ref="A3:E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1" width="42"/>
    <col collapsed="false" customWidth="true" hidden="false" outlineLevel="0" max="3" min="3" style="1" width="14"/>
    <col collapsed="false" customWidth="true" hidden="false" outlineLevel="0" max="4" min="4" style="1" width="42"/>
  </cols>
  <sheetData>
    <row r="1" customFormat="false" ht="17.25" hidden="false" customHeight="true" outlineLevel="0" collapsed="false">
      <c r="A1" s="14" t="s">
        <v>1307</v>
      </c>
    </row>
    <row r="2" customFormat="false" ht="15" hidden="false" customHeight="true" outlineLevel="0" collapsed="false">
      <c r="A2" s="42" t="s">
        <v>1308</v>
      </c>
    </row>
    <row r="3" customFormat="false" ht="27.75" hidden="false" customHeight="true" outlineLevel="0" collapsed="false">
      <c r="A3" s="36" t="s">
        <v>612</v>
      </c>
      <c r="B3" s="36" t="s">
        <v>1309</v>
      </c>
      <c r="C3" s="36" t="s">
        <v>1310</v>
      </c>
      <c r="D3" s="36" t="s">
        <v>1311</v>
      </c>
    </row>
    <row r="4" customFormat="false" ht="27.75" hidden="false" customHeight="true" outlineLevel="0" collapsed="false">
      <c r="A4" s="1" t="s">
        <v>1312</v>
      </c>
      <c r="B4" s="1" t="s">
        <v>1313</v>
      </c>
      <c r="C4" s="1" t="s">
        <v>1314</v>
      </c>
      <c r="D4" s="1" t="s">
        <v>1315</v>
      </c>
    </row>
    <row r="5" customFormat="false" ht="27.75" hidden="false" customHeight="true" outlineLevel="0" collapsed="false">
      <c r="A5" s="1" t="s">
        <v>1316</v>
      </c>
      <c r="B5" s="1" t="s">
        <v>1317</v>
      </c>
      <c r="C5" s="1" t="s">
        <v>1318</v>
      </c>
      <c r="D5" s="1" t="s">
        <v>1319</v>
      </c>
    </row>
    <row r="6" customFormat="false" ht="27.75" hidden="false" customHeight="true" outlineLevel="0" collapsed="false">
      <c r="A6" s="1" t="s">
        <v>1320</v>
      </c>
      <c r="B6" s="1" t="s">
        <v>1321</v>
      </c>
      <c r="C6" s="1" t="s">
        <v>1322</v>
      </c>
      <c r="D6" s="1" t="s">
        <v>1323</v>
      </c>
    </row>
  </sheetData>
  <autoFilter ref="A3:D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5"/>
  </cols>
  <sheetData>
    <row r="1" customFormat="false" ht="17.25" hidden="false" customHeight="true" outlineLevel="0" collapsed="false">
      <c r="A1" s="14" t="s">
        <v>1324</v>
      </c>
    </row>
    <row r="2" customFormat="false" ht="15" hidden="false" customHeight="true" outlineLevel="0" collapsed="false">
      <c r="A2" s="42" t="s">
        <v>1325</v>
      </c>
    </row>
    <row r="3" customFormat="false" ht="27.75" hidden="false" customHeight="true" outlineLevel="0" collapsed="false">
      <c r="A3" s="36" t="s">
        <v>1326</v>
      </c>
      <c r="B3" s="36" t="s">
        <v>620</v>
      </c>
    </row>
    <row r="4" customFormat="false" ht="15" hidden="false" customHeight="true" outlineLevel="0" collapsed="false">
      <c r="A4" s="10" t="s">
        <v>1327</v>
      </c>
      <c r="B4" s="10"/>
    </row>
    <row r="5" customFormat="false" ht="15" hidden="false" customHeight="true" outlineLevel="0" collapsed="false">
      <c r="A5" s="10" t="s">
        <v>1328</v>
      </c>
      <c r="B5" s="10"/>
    </row>
    <row r="6" customFormat="false" ht="15" hidden="false" customHeight="true" outlineLevel="0" collapsed="false">
      <c r="A6" s="10" t="s">
        <v>1329</v>
      </c>
      <c r="B6" s="10"/>
    </row>
    <row r="7" customFormat="false" ht="15" hidden="false" customHeight="true" outlineLevel="0" collapsed="false">
      <c r="A7" s="10" t="s">
        <v>1330</v>
      </c>
      <c r="B7" s="10"/>
    </row>
    <row r="8" customFormat="false" ht="15" hidden="false" customHeight="true" outlineLevel="0" collapsed="false">
      <c r="A8" s="10" t="s">
        <v>1331</v>
      </c>
      <c r="B8" s="10"/>
    </row>
    <row r="9" customFormat="false" ht="15" hidden="false" customHeight="true" outlineLevel="0" collapsed="false">
      <c r="A9" s="10" t="s">
        <v>1332</v>
      </c>
      <c r="B9" s="10"/>
    </row>
    <row r="10" customFormat="false" ht="15" hidden="false" customHeight="true" outlineLevel="0" collapsed="false">
      <c r="A10" s="10" t="s">
        <v>1333</v>
      </c>
      <c r="B10" s="10"/>
    </row>
    <row r="11" customFormat="false" ht="15" hidden="false" customHeight="true" outlineLevel="0" collapsed="false">
      <c r="A11" s="10" t="s">
        <v>1334</v>
      </c>
      <c r="B11" s="10"/>
    </row>
    <row r="12" customFormat="false" ht="15" hidden="false" customHeight="true" outlineLevel="0" collapsed="false">
      <c r="A12" s="10" t="s">
        <v>1335</v>
      </c>
      <c r="B12" s="10"/>
    </row>
    <row r="13" customFormat="false" ht="15" hidden="false" customHeight="true" outlineLevel="0" collapsed="false">
      <c r="A13" s="10" t="s">
        <v>1336</v>
      </c>
      <c r="B13" s="10"/>
    </row>
  </sheetData>
  <autoFilter ref="A3:B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5"/>
  </cols>
  <sheetData>
    <row r="1" customFormat="false" ht="17.25" hidden="false" customHeight="true" outlineLevel="0" collapsed="false">
      <c r="A1" s="14" t="s">
        <v>1337</v>
      </c>
    </row>
    <row r="2" customFormat="false" ht="15" hidden="false" customHeight="true" outlineLevel="0" collapsed="false">
      <c r="A2" s="42" t="s">
        <v>1338</v>
      </c>
    </row>
    <row r="3" customFormat="false" ht="15" hidden="false" customHeight="true" outlineLevel="0" collapsed="false">
      <c r="A3" s="36" t="s">
        <v>653</v>
      </c>
      <c r="B3" s="36" t="s">
        <v>1339</v>
      </c>
    </row>
    <row r="4" customFormat="false" ht="15" hidden="false" customHeight="true" outlineLevel="0" collapsed="false">
      <c r="A4" s="10" t="s">
        <v>447</v>
      </c>
      <c r="B4" s="10"/>
    </row>
    <row r="5" customFormat="false" ht="15" hidden="false" customHeight="true" outlineLevel="0" collapsed="false">
      <c r="A5" s="10" t="s">
        <v>1340</v>
      </c>
      <c r="B5" s="10"/>
    </row>
    <row r="6" customFormat="false" ht="15" hidden="false" customHeight="true" outlineLevel="0" collapsed="false">
      <c r="A6" s="10" t="s">
        <v>1341</v>
      </c>
      <c r="B6" s="10"/>
    </row>
    <row r="7" customFormat="false" ht="15" hidden="false" customHeight="true" outlineLevel="0" collapsed="false">
      <c r="A7" s="10" t="s">
        <v>1342</v>
      </c>
      <c r="B7" s="10"/>
    </row>
    <row r="8" customFormat="false" ht="15" hidden="false" customHeight="true" outlineLevel="0" collapsed="false">
      <c r="A8" s="10" t="s">
        <v>1343</v>
      </c>
      <c r="B8" s="10"/>
    </row>
    <row r="9" customFormat="false" ht="15" hidden="false" customHeight="true" outlineLevel="0" collapsed="false">
      <c r="A9" s="10" t="s">
        <v>1167</v>
      </c>
      <c r="B9" s="10"/>
    </row>
    <row r="10" customFormat="false" ht="15" hidden="false" customHeight="true" outlineLevel="0" collapsed="false">
      <c r="A10" s="10" t="s">
        <v>1344</v>
      </c>
      <c r="B10" s="10"/>
    </row>
    <row r="11" customFormat="false" ht="15" hidden="false" customHeight="true" outlineLevel="0" collapsed="false">
      <c r="A11" s="10" t="s">
        <v>1345</v>
      </c>
      <c r="B11" s="10"/>
    </row>
  </sheetData>
  <autoFilter ref="A3:B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3" min="1" style="1" width="42"/>
    <col collapsed="false" customWidth="true" hidden="false" outlineLevel="0" max="4" min="4" style="1" width="30"/>
    <col collapsed="false" customWidth="true" hidden="false" outlineLevel="0" max="5" min="5" style="1" width="42"/>
  </cols>
  <sheetData>
    <row r="1" customFormat="false" ht="17.25" hidden="false" customHeight="true" outlineLevel="0" collapsed="false">
      <c r="A1" s="14" t="s">
        <v>1346</v>
      </c>
    </row>
    <row r="2" customFormat="false" ht="15" hidden="false" customHeight="true" outlineLevel="0" collapsed="false">
      <c r="A2" s="42" t="s">
        <v>1347</v>
      </c>
    </row>
    <row r="3" customFormat="false" ht="15" hidden="false" customHeight="true" outlineLevel="0" collapsed="false">
      <c r="A3" s="36" t="s">
        <v>1042</v>
      </c>
      <c r="B3" s="36" t="s">
        <v>1043</v>
      </c>
      <c r="C3" s="36" t="s">
        <v>1348</v>
      </c>
      <c r="D3" s="36" t="s">
        <v>1349</v>
      </c>
      <c r="E3" s="36" t="s">
        <v>1350</v>
      </c>
    </row>
    <row r="4" customFormat="false" ht="27.75" hidden="false" customHeight="true" outlineLevel="0" collapsed="false">
      <c r="A4" s="10" t="n">
        <v>1</v>
      </c>
      <c r="B4" s="10" t="s">
        <v>1048</v>
      </c>
      <c r="C4" s="10" t="s">
        <v>1351</v>
      </c>
      <c r="D4" s="10" t="s">
        <v>1352</v>
      </c>
      <c r="E4" s="10" t="s">
        <v>1353</v>
      </c>
    </row>
    <row r="5" customFormat="false" ht="27.75" hidden="false" customHeight="true" outlineLevel="0" collapsed="false">
      <c r="A5" s="10" t="n">
        <v>2</v>
      </c>
      <c r="B5" s="10" t="s">
        <v>1052</v>
      </c>
      <c r="C5" s="10" t="s">
        <v>1354</v>
      </c>
      <c r="D5" s="10" t="s">
        <v>1355</v>
      </c>
      <c r="E5" s="10" t="s">
        <v>1356</v>
      </c>
    </row>
    <row r="6" customFormat="false" ht="27.75" hidden="false" customHeight="true" outlineLevel="0" collapsed="false">
      <c r="A6" s="10" t="n">
        <v>3</v>
      </c>
      <c r="B6" s="10" t="s">
        <v>1056</v>
      </c>
      <c r="C6" s="10" t="s">
        <v>1357</v>
      </c>
      <c r="D6" s="10" t="s">
        <v>1358</v>
      </c>
      <c r="E6" s="10" t="s">
        <v>1359</v>
      </c>
    </row>
    <row r="7" customFormat="false" ht="27.75" hidden="false" customHeight="true" outlineLevel="0" collapsed="false">
      <c r="A7" s="10" t="n">
        <v>4</v>
      </c>
      <c r="B7" s="10" t="s">
        <v>1060</v>
      </c>
      <c r="C7" s="10" t="s">
        <v>1360</v>
      </c>
      <c r="D7" s="10" t="s">
        <v>1361</v>
      </c>
      <c r="E7" s="10" t="s">
        <v>1362</v>
      </c>
    </row>
    <row r="8" customFormat="false" ht="27.75" hidden="false" customHeight="true" outlineLevel="0" collapsed="false">
      <c r="A8" s="10" t="n">
        <v>5</v>
      </c>
      <c r="B8" s="10" t="s">
        <v>1064</v>
      </c>
      <c r="C8" s="10" t="s">
        <v>1363</v>
      </c>
      <c r="D8" s="10" t="s">
        <v>1364</v>
      </c>
      <c r="E8" s="10" t="s">
        <v>1365</v>
      </c>
    </row>
    <row r="9" customFormat="false" ht="27.75" hidden="false" customHeight="true" outlineLevel="0" collapsed="false">
      <c r="A9" s="10" t="n">
        <v>6</v>
      </c>
      <c r="B9" s="10" t="s">
        <v>1068</v>
      </c>
      <c r="C9" s="10" t="s">
        <v>1366</v>
      </c>
      <c r="D9" s="10" t="s">
        <v>1367</v>
      </c>
      <c r="E9" s="10" t="s">
        <v>1368</v>
      </c>
    </row>
    <row r="10" customFormat="false" ht="27.75" hidden="false" customHeight="true" outlineLevel="0" collapsed="false">
      <c r="A10" s="10" t="n">
        <v>7</v>
      </c>
      <c r="B10" s="10" t="s">
        <v>1072</v>
      </c>
      <c r="C10" s="10" t="s">
        <v>1369</v>
      </c>
      <c r="D10" s="10" t="s">
        <v>1370</v>
      </c>
      <c r="E10" s="10" t="s">
        <v>1371</v>
      </c>
    </row>
    <row r="11" customFormat="false" ht="27.75" hidden="false" customHeight="true" outlineLevel="0" collapsed="false">
      <c r="A11" s="10" t="n">
        <v>8</v>
      </c>
      <c r="B11" s="10" t="s">
        <v>636</v>
      </c>
      <c r="C11" s="10" t="s">
        <v>1372</v>
      </c>
      <c r="D11" s="10" t="s">
        <v>1373</v>
      </c>
      <c r="E11" s="10" t="s">
        <v>1374</v>
      </c>
    </row>
    <row r="12" customFormat="false" ht="27.75" hidden="false" customHeight="true" outlineLevel="0" collapsed="false">
      <c r="A12" s="10" t="n">
        <v>9</v>
      </c>
      <c r="B12" s="10" t="s">
        <v>1079</v>
      </c>
      <c r="C12" s="10" t="s">
        <v>1375</v>
      </c>
      <c r="D12" s="10" t="s">
        <v>1376</v>
      </c>
      <c r="E12" s="10" t="s">
        <v>1377</v>
      </c>
    </row>
    <row r="13" customFormat="false" ht="27.75" hidden="false" customHeight="true" outlineLevel="0" collapsed="false">
      <c r="A13" s="10" t="n">
        <v>10</v>
      </c>
      <c r="B13" s="10" t="s">
        <v>1083</v>
      </c>
      <c r="C13" s="10" t="s">
        <v>1378</v>
      </c>
      <c r="D13" s="10" t="s">
        <v>1379</v>
      </c>
      <c r="E13" s="10" t="s">
        <v>1380</v>
      </c>
    </row>
  </sheetData>
  <autoFilter ref="A3:E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31"/>
    <col collapsed="false" customWidth="true" hidden="false" outlineLevel="0" max="3" min="3" style="1" width="21"/>
    <col collapsed="false" customWidth="true" hidden="false" outlineLevel="0" max="4" min="4" style="1" width="13"/>
    <col collapsed="false" customWidth="true" hidden="false" outlineLevel="0" max="5" min="5" style="1" width="21"/>
  </cols>
  <sheetData>
    <row r="1" customFormat="false" ht="17.25" hidden="false" customHeight="true" outlineLevel="0" collapsed="false">
      <c r="A1" s="14" t="s">
        <v>1381</v>
      </c>
    </row>
    <row r="2" customFormat="false" ht="15" hidden="false" customHeight="true" outlineLevel="0" collapsed="false">
      <c r="A2" s="42" t="s">
        <v>1382</v>
      </c>
    </row>
    <row r="3" customFormat="false" ht="27.75" hidden="false" customHeight="true" outlineLevel="0" collapsed="false">
      <c r="A3" s="36" t="s">
        <v>1043</v>
      </c>
      <c r="B3" s="36" t="s">
        <v>1383</v>
      </c>
      <c r="C3" s="36" t="s">
        <v>1384</v>
      </c>
      <c r="D3" s="36" t="s">
        <v>1385</v>
      </c>
      <c r="E3" s="36" t="s">
        <v>1386</v>
      </c>
    </row>
    <row r="4" customFormat="false" ht="15" hidden="false" customHeight="true" outlineLevel="0" collapsed="false">
      <c r="A4" s="10" t="s">
        <v>1048</v>
      </c>
      <c r="B4" s="10" t="s">
        <v>1387</v>
      </c>
      <c r="C4" s="10" t="s">
        <v>1388</v>
      </c>
      <c r="D4" s="10"/>
      <c r="E4" s="10"/>
    </row>
    <row r="5" customFormat="false" ht="15" hidden="false" customHeight="true" outlineLevel="0" collapsed="false">
      <c r="A5" s="10" t="s">
        <v>1052</v>
      </c>
      <c r="B5" s="10" t="s">
        <v>1389</v>
      </c>
      <c r="C5" s="10" t="s">
        <v>1390</v>
      </c>
      <c r="D5" s="10"/>
      <c r="E5" s="10"/>
    </row>
    <row r="6" customFormat="false" ht="15" hidden="false" customHeight="true" outlineLevel="0" collapsed="false">
      <c r="A6" s="10" t="s">
        <v>1056</v>
      </c>
      <c r="B6" s="10" t="s">
        <v>1391</v>
      </c>
      <c r="C6" s="10" t="s">
        <v>1392</v>
      </c>
      <c r="D6" s="10"/>
      <c r="E6" s="10"/>
    </row>
    <row r="7" customFormat="false" ht="15" hidden="false" customHeight="true" outlineLevel="0" collapsed="false">
      <c r="A7" s="10" t="s">
        <v>1060</v>
      </c>
      <c r="B7" s="10" t="s">
        <v>1393</v>
      </c>
      <c r="C7" s="10" t="s">
        <v>1394</v>
      </c>
      <c r="D7" s="10"/>
      <c r="E7" s="10"/>
    </row>
    <row r="8" customFormat="false" ht="15" hidden="false" customHeight="true" outlineLevel="0" collapsed="false">
      <c r="A8" s="10" t="s">
        <v>1064</v>
      </c>
      <c r="B8" s="10" t="s">
        <v>1395</v>
      </c>
      <c r="C8" s="10" t="s">
        <v>1396</v>
      </c>
      <c r="D8" s="10"/>
      <c r="E8" s="10"/>
    </row>
    <row r="9" customFormat="false" ht="15" hidden="false" customHeight="true" outlineLevel="0" collapsed="false">
      <c r="A9" s="10" t="s">
        <v>1068</v>
      </c>
      <c r="B9" s="10" t="s">
        <v>1397</v>
      </c>
      <c r="C9" s="10" t="s">
        <v>1398</v>
      </c>
      <c r="D9" s="10"/>
      <c r="E9" s="10"/>
    </row>
    <row r="10" customFormat="false" ht="15" hidden="false" customHeight="true" outlineLevel="0" collapsed="false">
      <c r="A10" s="10" t="s">
        <v>1072</v>
      </c>
      <c r="B10" s="10" t="s">
        <v>1399</v>
      </c>
      <c r="C10" s="10" t="s">
        <v>1400</v>
      </c>
      <c r="D10" s="10"/>
      <c r="E10" s="10"/>
    </row>
    <row r="11" customFormat="false" ht="15" hidden="false" customHeight="true" outlineLevel="0" collapsed="false">
      <c r="A11" s="10" t="s">
        <v>636</v>
      </c>
      <c r="B11" s="10" t="s">
        <v>1401</v>
      </c>
      <c r="C11" s="10" t="s">
        <v>1402</v>
      </c>
      <c r="D11" s="10"/>
      <c r="E11" s="10"/>
    </row>
    <row r="12" customFormat="false" ht="15" hidden="false" customHeight="true" outlineLevel="0" collapsed="false">
      <c r="A12" s="10" t="s">
        <v>1079</v>
      </c>
      <c r="B12" s="10" t="s">
        <v>1403</v>
      </c>
      <c r="C12" s="10" t="s">
        <v>1404</v>
      </c>
      <c r="D12" s="10"/>
      <c r="E12" s="10"/>
    </row>
    <row r="13" customFormat="false" ht="15" hidden="false" customHeight="true" outlineLevel="0" collapsed="false">
      <c r="A13" s="10" t="s">
        <v>1083</v>
      </c>
      <c r="B13" s="10" t="s">
        <v>1405</v>
      </c>
      <c r="C13" s="10" t="s">
        <v>1406</v>
      </c>
      <c r="D13" s="10"/>
      <c r="E13" s="10"/>
    </row>
  </sheetData>
  <autoFilter ref="A3:E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5"/>
    <col collapsed="false" customWidth="true" hidden="false" outlineLevel="0" max="2" min="2" style="1" width="13"/>
    <col collapsed="false" customWidth="true" hidden="false" outlineLevel="0" max="3" min="3" style="1" width="14"/>
    <col collapsed="false" customWidth="true" hidden="false" outlineLevel="0" max="5" min="4" style="1" width="12"/>
    <col collapsed="false" customWidth="true" hidden="false" outlineLevel="0" max="6" min="6" style="1" width="26"/>
    <col collapsed="false" customWidth="true" hidden="false" outlineLevel="0" max="8" min="7" style="1" width="17"/>
    <col collapsed="false" customWidth="true" hidden="false" outlineLevel="0" max="9" min="9" style="1" width="27"/>
    <col collapsed="false" customWidth="true" hidden="false" outlineLevel="0" max="10" min="10" style="1" width="12"/>
    <col collapsed="false" customWidth="true" hidden="false" outlineLevel="0" max="12" min="11" style="1" width="16"/>
    <col collapsed="false" customWidth="true" hidden="false" outlineLevel="0" max="13" min="13" style="1" width="21"/>
  </cols>
  <sheetData>
    <row r="1" customFormat="false" ht="17.25" hidden="false" customHeight="true" outlineLevel="0" collapsed="false">
      <c r="A1" s="14" t="s">
        <v>1407</v>
      </c>
    </row>
    <row r="2" customFormat="false" ht="15" hidden="false" customHeight="true" outlineLevel="0" collapsed="false">
      <c r="A2" s="42" t="s">
        <v>1408</v>
      </c>
    </row>
    <row r="3" customFormat="false" ht="27.75" hidden="false" customHeight="true" outlineLevel="0" collapsed="false">
      <c r="A3" s="36" t="s">
        <v>410</v>
      </c>
      <c r="B3" s="36" t="s">
        <v>656</v>
      </c>
      <c r="C3" s="36" t="s">
        <v>1098</v>
      </c>
      <c r="D3" s="36" t="s">
        <v>1409</v>
      </c>
      <c r="E3" s="36" t="s">
        <v>413</v>
      </c>
      <c r="F3" s="36" t="s">
        <v>366</v>
      </c>
      <c r="G3" s="36" t="s">
        <v>1410</v>
      </c>
      <c r="H3" s="36" t="s">
        <v>870</v>
      </c>
      <c r="I3" s="36" t="s">
        <v>1411</v>
      </c>
      <c r="J3" s="36" t="s">
        <v>1412</v>
      </c>
      <c r="K3" s="36" t="s">
        <v>1413</v>
      </c>
      <c r="L3" s="36" t="s">
        <v>1300</v>
      </c>
      <c r="M3" s="36" t="s">
        <v>1414</v>
      </c>
      <c r="N3" s="36" t="s">
        <v>636</v>
      </c>
    </row>
  </sheetData>
  <autoFilter ref="A3:M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5"/>
    <col collapsed="false" customWidth="true" hidden="false" outlineLevel="0" max="2" min="2" style="1" width="43"/>
    <col collapsed="false" customWidth="true" hidden="false" outlineLevel="0" max="3" min="3" style="1" width="45"/>
    <col collapsed="false" customWidth="true" hidden="false" outlineLevel="0" max="4" min="4" style="1" width="26"/>
    <col collapsed="false" customWidth="true" hidden="false" outlineLevel="0" max="5" min="5" style="1" width="18"/>
    <col collapsed="false" customWidth="true" hidden="false" outlineLevel="0" max="6" min="6" style="1" width="24"/>
  </cols>
  <sheetData>
    <row r="1" customFormat="false" ht="17.25" hidden="false" customHeight="true" outlineLevel="0" collapsed="false">
      <c r="A1" s="14" t="s">
        <v>1415</v>
      </c>
    </row>
    <row r="2" customFormat="false" ht="15" hidden="false" customHeight="true" outlineLevel="0" collapsed="false">
      <c r="A2" s="42" t="s">
        <v>1416</v>
      </c>
    </row>
    <row r="3" customFormat="false" ht="27.75" hidden="false" customHeight="true" outlineLevel="0" collapsed="false">
      <c r="A3" s="36" t="s">
        <v>1417</v>
      </c>
      <c r="B3" s="36" t="s">
        <v>1418</v>
      </c>
      <c r="C3" s="36" t="s">
        <v>1419</v>
      </c>
      <c r="D3" s="36" t="s">
        <v>1420</v>
      </c>
      <c r="E3" s="36" t="s">
        <v>1421</v>
      </c>
      <c r="F3" s="36" t="s">
        <v>1422</v>
      </c>
    </row>
    <row r="4" customFormat="false" ht="15" hidden="false" customHeight="true" outlineLevel="0" collapsed="false">
      <c r="A4" s="44" t="s">
        <v>687</v>
      </c>
      <c r="B4" s="44" t="s">
        <v>688</v>
      </c>
      <c r="C4" s="44" t="s">
        <v>1423</v>
      </c>
      <c r="D4" s="44"/>
      <c r="E4" s="44"/>
      <c r="F4" s="44"/>
    </row>
    <row r="5" customFormat="false" ht="15" hidden="false" customHeight="true" outlineLevel="0" collapsed="false">
      <c r="A5" s="44" t="s">
        <v>690</v>
      </c>
      <c r="B5" s="44" t="s">
        <v>691</v>
      </c>
      <c r="C5" s="44" t="s">
        <v>1424</v>
      </c>
      <c r="D5" s="44"/>
      <c r="E5" s="44"/>
      <c r="F5" s="44"/>
    </row>
    <row r="6" customFormat="false" ht="15" hidden="false" customHeight="true" outlineLevel="0" collapsed="false">
      <c r="A6" s="44" t="s">
        <v>693</v>
      </c>
      <c r="B6" s="44" t="s">
        <v>694</v>
      </c>
      <c r="C6" s="44" t="s">
        <v>1425</v>
      </c>
      <c r="D6" s="44"/>
      <c r="E6" s="44"/>
      <c r="F6" s="44"/>
    </row>
  </sheetData>
  <autoFilter ref="A3:F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4"/>
    <col collapsed="false" customWidth="true" hidden="false" outlineLevel="0" max="3" min="3" style="1" width="70"/>
    <col collapsed="false" customWidth="true" hidden="false" outlineLevel="0" max="4" min="4" style="1" width="80"/>
    <col collapsed="false" customWidth="true" hidden="false" outlineLevel="0" max="5" min="5" style="1" width="15"/>
    <col collapsed="false" customWidth="true" hidden="false" outlineLevel="0" max="6" min="6" style="1" width="70"/>
  </cols>
  <sheetData>
    <row r="1" customFormat="false" ht="21.75" hidden="false" customHeight="true" outlineLevel="0" collapsed="false">
      <c r="A1" s="1" t="s">
        <v>1426</v>
      </c>
    </row>
    <row r="2" customFormat="false" ht="15" hidden="false" customHeight="true" outlineLevel="0" collapsed="false">
      <c r="A2" s="1" t="s">
        <v>1427</v>
      </c>
    </row>
    <row r="3" customFormat="false" ht="15" hidden="false" customHeight="true" outlineLevel="0" collapsed="false">
      <c r="A3" s="1" t="s">
        <v>612</v>
      </c>
      <c r="B3" s="1" t="s">
        <v>314</v>
      </c>
      <c r="C3" s="1" t="s">
        <v>966</v>
      </c>
      <c r="D3" s="1" t="s">
        <v>1428</v>
      </c>
      <c r="E3" s="1" t="s">
        <v>1429</v>
      </c>
      <c r="F3" s="1" t="s">
        <v>1430</v>
      </c>
    </row>
    <row r="4" customFormat="false" ht="15" hidden="false" customHeight="true" outlineLevel="0" collapsed="false">
      <c r="A4" s="1" t="s">
        <v>973</v>
      </c>
      <c r="B4" s="1" t="s">
        <v>974</v>
      </c>
      <c r="C4" s="1" t="s">
        <v>975</v>
      </c>
      <c r="D4" s="1" t="s">
        <v>1431</v>
      </c>
      <c r="E4" s="1" t="s">
        <v>895</v>
      </c>
      <c r="F4" s="1" t="s">
        <v>1432</v>
      </c>
    </row>
    <row r="5" customFormat="false" ht="15" hidden="false" customHeight="true" outlineLevel="0" collapsed="false">
      <c r="A5" s="1" t="s">
        <v>976</v>
      </c>
      <c r="B5" s="1" t="s">
        <v>977</v>
      </c>
      <c r="C5" s="1" t="s">
        <v>978</v>
      </c>
      <c r="D5" s="1" t="s">
        <v>1433</v>
      </c>
      <c r="E5" s="1" t="s">
        <v>895</v>
      </c>
      <c r="F5" s="1" t="s">
        <v>1434</v>
      </c>
    </row>
    <row r="6" customFormat="false" ht="15" hidden="false" customHeight="true" outlineLevel="0" collapsed="false">
      <c r="A6" s="1" t="s">
        <v>979</v>
      </c>
      <c r="B6" s="1" t="s">
        <v>977</v>
      </c>
      <c r="C6" s="1" t="s">
        <v>980</v>
      </c>
      <c r="D6" s="1" t="s">
        <v>1435</v>
      </c>
      <c r="E6" s="1" t="s">
        <v>895</v>
      </c>
      <c r="F6" s="1" t="s">
        <v>1436</v>
      </c>
    </row>
    <row r="7" customFormat="false" ht="15" hidden="false" customHeight="true" outlineLevel="0" collapsed="false">
      <c r="A7" s="1" t="s">
        <v>981</v>
      </c>
      <c r="B7" s="1" t="s">
        <v>977</v>
      </c>
      <c r="C7" s="1" t="s">
        <v>982</v>
      </c>
      <c r="D7" s="1" t="s">
        <v>1437</v>
      </c>
      <c r="E7" s="1" t="s">
        <v>891</v>
      </c>
      <c r="F7" s="1" t="s">
        <v>1438</v>
      </c>
    </row>
    <row r="8" customFormat="false" ht="15" hidden="false" customHeight="true" outlineLevel="0" collapsed="false">
      <c r="A8" s="1" t="s">
        <v>983</v>
      </c>
      <c r="B8" s="1" t="s">
        <v>984</v>
      </c>
      <c r="C8" s="1" t="s">
        <v>985</v>
      </c>
      <c r="D8" s="1" t="s">
        <v>1439</v>
      </c>
      <c r="E8" s="1" t="s">
        <v>895</v>
      </c>
      <c r="F8" s="1" t="s">
        <v>1440</v>
      </c>
    </row>
    <row r="9" customFormat="false" ht="15" hidden="false" customHeight="true" outlineLevel="0" collapsed="false">
      <c r="A9" s="1" t="s">
        <v>986</v>
      </c>
      <c r="B9" s="1" t="s">
        <v>984</v>
      </c>
      <c r="C9" s="1" t="s">
        <v>987</v>
      </c>
      <c r="D9" s="1" t="s">
        <v>1441</v>
      </c>
      <c r="E9" s="1" t="s">
        <v>895</v>
      </c>
      <c r="F9" s="1" t="s">
        <v>1442</v>
      </c>
    </row>
    <row r="10" customFormat="false" ht="15" hidden="false" customHeight="true" outlineLevel="0" collapsed="false">
      <c r="A10" s="1" t="s">
        <v>988</v>
      </c>
      <c r="B10" s="1" t="s">
        <v>989</v>
      </c>
      <c r="C10" s="1" t="s">
        <v>990</v>
      </c>
      <c r="D10" s="1" t="s">
        <v>1443</v>
      </c>
      <c r="E10" s="1" t="s">
        <v>895</v>
      </c>
      <c r="F10" s="1" t="s">
        <v>1444</v>
      </c>
    </row>
    <row r="11" customFormat="false" ht="15" hidden="false" customHeight="true" outlineLevel="0" collapsed="false">
      <c r="A11" s="1" t="s">
        <v>991</v>
      </c>
      <c r="B11" s="1" t="s">
        <v>989</v>
      </c>
      <c r="C11" s="1" t="s">
        <v>992</v>
      </c>
      <c r="D11" s="1" t="s">
        <v>1445</v>
      </c>
      <c r="E11" s="1" t="s">
        <v>895</v>
      </c>
      <c r="F11" s="1" t="s">
        <v>1446</v>
      </c>
    </row>
    <row r="12" customFormat="false" ht="15" hidden="false" customHeight="true" outlineLevel="0" collapsed="false">
      <c r="A12" s="1" t="s">
        <v>993</v>
      </c>
      <c r="B12" s="1" t="s">
        <v>994</v>
      </c>
      <c r="C12" s="1" t="s">
        <v>1447</v>
      </c>
      <c r="D12" s="1" t="s">
        <v>1448</v>
      </c>
      <c r="E12" s="1" t="s">
        <v>895</v>
      </c>
      <c r="F12" s="1" t="s">
        <v>1449</v>
      </c>
    </row>
    <row r="13" customFormat="false" ht="15" hidden="false" customHeight="true" outlineLevel="0" collapsed="false">
      <c r="A13" s="1" t="s">
        <v>996</v>
      </c>
      <c r="B13" s="1" t="s">
        <v>997</v>
      </c>
      <c r="C13" s="1" t="s">
        <v>998</v>
      </c>
      <c r="D13" s="1" t="s">
        <v>1450</v>
      </c>
      <c r="E13" s="1" t="s">
        <v>895</v>
      </c>
      <c r="F13" s="1" t="s">
        <v>1451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5"/>
    <col collapsed="false" customWidth="true" hidden="false" outlineLevel="0" max="4" min="3" style="1" width="16"/>
    <col collapsed="false" customWidth="true" hidden="false" outlineLevel="0" max="5" min="5" style="1" width="10"/>
    <col collapsed="false" customWidth="true" hidden="false" outlineLevel="0" max="6" min="6" style="1" width="12"/>
    <col collapsed="false" customWidth="true" hidden="false" outlineLevel="0" max="8" min="7" style="1" width="18"/>
    <col collapsed="false" customWidth="true" hidden="false" outlineLevel="0" max="9" min="9" style="1" width="58"/>
    <col collapsed="false" customWidth="true" hidden="false" outlineLevel="0" max="10" min="10" style="1" width="30"/>
  </cols>
  <sheetData>
    <row r="1" customFormat="false" ht="15" hidden="false" customHeight="true" outlineLevel="0" collapsed="false">
      <c r="A1" s="1" t="s">
        <v>1452</v>
      </c>
    </row>
    <row r="2" customFormat="false" ht="15" hidden="false" customHeight="true" outlineLevel="0" collapsed="false">
      <c r="A2" s="1" t="s">
        <v>1453</v>
      </c>
    </row>
    <row r="3" customFormat="false" ht="15" hidden="false" customHeight="true" outlineLevel="0" collapsed="false">
      <c r="A3" s="1" t="s">
        <v>1454</v>
      </c>
      <c r="B3" s="1" t="s">
        <v>318</v>
      </c>
      <c r="C3" s="1" t="s">
        <v>1098</v>
      </c>
      <c r="D3" s="1" t="s">
        <v>911</v>
      </c>
      <c r="E3" s="1" t="s">
        <v>413</v>
      </c>
      <c r="F3" s="1" t="s">
        <v>912</v>
      </c>
      <c r="G3" s="1" t="s">
        <v>870</v>
      </c>
      <c r="H3" s="1" t="s">
        <v>1455</v>
      </c>
      <c r="I3" s="1" t="s">
        <v>1456</v>
      </c>
      <c r="J3" s="1" t="s">
        <v>620</v>
      </c>
    </row>
    <row r="4" customFormat="false" ht="15" hidden="false" customHeight="true" outlineLevel="0" collapsed="false">
      <c r="A4" s="1" t="s">
        <v>1457</v>
      </c>
      <c r="B4" s="1" t="s">
        <v>189</v>
      </c>
      <c r="C4" s="1" t="s">
        <v>1458</v>
      </c>
      <c r="D4" s="1" t="s">
        <v>369</v>
      </c>
      <c r="E4" s="1" t="n">
        <v>2</v>
      </c>
      <c r="F4" s="1" t="n">
        <v>60</v>
      </c>
      <c r="G4" s="1" t="s">
        <v>191</v>
      </c>
      <c r="H4" s="1" t="s">
        <v>1459</v>
      </c>
    </row>
    <row r="5" customFormat="false" ht="15" hidden="false" customHeight="true" outlineLevel="0" collapsed="false">
      <c r="A5" s="1" t="s">
        <v>1460</v>
      </c>
      <c r="B5" s="1" t="s">
        <v>189</v>
      </c>
      <c r="C5" s="1" t="s">
        <v>1458</v>
      </c>
      <c r="D5" s="1" t="s">
        <v>369</v>
      </c>
      <c r="E5" s="1" t="n">
        <v>2</v>
      </c>
      <c r="F5" s="1" t="n">
        <v>60</v>
      </c>
      <c r="G5" s="1" t="s">
        <v>191</v>
      </c>
      <c r="H5" s="1" t="s">
        <v>1459</v>
      </c>
    </row>
    <row r="6" customFormat="false" ht="15" hidden="false" customHeight="true" outlineLevel="0" collapsed="false">
      <c r="A6" s="1" t="s">
        <v>1461</v>
      </c>
      <c r="B6" s="1" t="s">
        <v>203</v>
      </c>
      <c r="C6" s="1" t="s">
        <v>1462</v>
      </c>
      <c r="D6" s="1" t="s">
        <v>395</v>
      </c>
      <c r="E6" s="1" t="n">
        <v>1</v>
      </c>
      <c r="F6" s="1" t="n">
        <v>190</v>
      </c>
      <c r="G6" s="1" t="s">
        <v>180</v>
      </c>
    </row>
    <row r="7" customFormat="false" ht="15" hidden="false" customHeight="true" outlineLevel="0" collapsed="false">
      <c r="A7" s="1" t="s">
        <v>1463</v>
      </c>
      <c r="B7" s="1" t="s">
        <v>200</v>
      </c>
      <c r="C7" s="1" t="s">
        <v>1226</v>
      </c>
      <c r="D7" s="1" t="s">
        <v>373</v>
      </c>
      <c r="E7" s="1" t="n">
        <v>3</v>
      </c>
      <c r="F7" s="1" t="n">
        <v>66</v>
      </c>
      <c r="G7" s="1" t="s">
        <v>191</v>
      </c>
      <c r="H7" s="1" t="s">
        <v>1464</v>
      </c>
    </row>
    <row r="8" customFormat="false" ht="15" hidden="false" customHeight="true" outlineLevel="0" collapsed="false">
      <c r="A8" s="1" t="s">
        <v>1465</v>
      </c>
      <c r="B8" s="1" t="s">
        <v>208</v>
      </c>
      <c r="C8" s="1" t="s">
        <v>1226</v>
      </c>
      <c r="D8" s="1" t="s">
        <v>381</v>
      </c>
      <c r="E8" s="1" t="n">
        <v>2</v>
      </c>
      <c r="F8" s="1" t="n">
        <v>70</v>
      </c>
      <c r="G8" s="1" t="s">
        <v>180</v>
      </c>
      <c r="H8" s="1" t="s">
        <v>1466</v>
      </c>
    </row>
    <row r="9" customFormat="false" ht="15" hidden="false" customHeight="true" outlineLevel="0" collapsed="false">
      <c r="A9" s="1" t="s">
        <v>1467</v>
      </c>
      <c r="B9" s="1" t="s">
        <v>212</v>
      </c>
      <c r="C9" s="1" t="s">
        <v>1226</v>
      </c>
      <c r="D9" s="1" t="s">
        <v>386</v>
      </c>
      <c r="E9" s="1" t="n">
        <v>1</v>
      </c>
      <c r="F9" s="1" t="n">
        <v>100</v>
      </c>
      <c r="H9" s="1" t="s">
        <v>1468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1" width="18"/>
    <col collapsed="false" customWidth="true" hidden="false" outlineLevel="0" max="4" min="3" style="1" width="24"/>
    <col collapsed="false" customWidth="true" hidden="false" outlineLevel="0" max="6" min="5" style="1" width="16"/>
    <col collapsed="false" customWidth="true" hidden="false" outlineLevel="0" max="8" min="7" style="1" width="18"/>
    <col collapsed="false" customWidth="true" hidden="false" outlineLevel="0" max="9" min="9" style="1" width="20"/>
    <col collapsed="false" customWidth="true" hidden="false" outlineLevel="0" max="10" min="10" style="1" width="44"/>
  </cols>
  <sheetData>
    <row r="1" customFormat="false" ht="66.75" hidden="false" customHeight="true" outlineLevel="0" collapsed="false">
      <c r="A1" s="45" t="s">
        <v>1469</v>
      </c>
      <c r="B1" s="45"/>
      <c r="C1" s="45"/>
      <c r="D1" s="45"/>
      <c r="E1" s="45"/>
      <c r="F1" s="45"/>
      <c r="G1" s="45"/>
      <c r="H1" s="45"/>
      <c r="I1" s="45"/>
      <c r="J1" s="45"/>
    </row>
    <row r="2" customFormat="false" ht="108.75" hidden="false" customHeight="true" outlineLevel="0" collapsed="false">
      <c r="A2" s="44" t="s">
        <v>1470</v>
      </c>
      <c r="B2" s="44"/>
      <c r="C2" s="44"/>
      <c r="D2" s="44"/>
      <c r="E2" s="44"/>
      <c r="F2" s="44"/>
      <c r="G2" s="44"/>
      <c r="H2" s="44"/>
      <c r="I2" s="44"/>
      <c r="J2" s="44"/>
    </row>
    <row r="3" customFormat="false" ht="15" hidden="false" customHeight="true" outlineLevel="0" collapsed="false">
      <c r="A3" s="46" t="s">
        <v>869</v>
      </c>
      <c r="B3" s="46" t="s">
        <v>313</v>
      </c>
      <c r="C3" s="46" t="s">
        <v>318</v>
      </c>
      <c r="D3" s="46" t="s">
        <v>1471</v>
      </c>
      <c r="E3" s="46" t="s">
        <v>315</v>
      </c>
      <c r="F3" s="46" t="s">
        <v>316</v>
      </c>
      <c r="G3" s="46" t="s">
        <v>321</v>
      </c>
      <c r="H3" s="46" t="s">
        <v>1472</v>
      </c>
      <c r="I3" s="46" t="s">
        <v>323</v>
      </c>
      <c r="J3" s="46" t="s">
        <v>234</v>
      </c>
    </row>
    <row r="4" customFormat="false" ht="41.25" hidden="false" customHeight="true" outlineLevel="0" collapsed="false">
      <c r="A4" s="44" t="s">
        <v>1473</v>
      </c>
      <c r="B4" s="44" t="s">
        <v>1458</v>
      </c>
      <c r="C4" s="44" t="s">
        <v>208</v>
      </c>
      <c r="D4" s="44" t="s">
        <v>210</v>
      </c>
      <c r="E4" s="44" t="s">
        <v>1108</v>
      </c>
      <c r="F4" s="44" t="s">
        <v>1474</v>
      </c>
      <c r="G4" s="44" t="s">
        <v>278</v>
      </c>
      <c r="H4" s="44" t="s">
        <v>210</v>
      </c>
      <c r="I4" s="44" t="s">
        <v>1475</v>
      </c>
      <c r="J4" s="44" t="s">
        <v>1476</v>
      </c>
    </row>
    <row r="5" customFormat="false" ht="15" hidden="false" customHeight="true" outlineLevel="0" collapsed="false">
      <c r="A5" s="44" t="s">
        <v>1477</v>
      </c>
      <c r="B5" s="44" t="s">
        <v>1462</v>
      </c>
      <c r="C5" s="44" t="s">
        <v>189</v>
      </c>
      <c r="D5" s="44" t="s">
        <v>179</v>
      </c>
      <c r="E5" s="44" t="s">
        <v>1113</v>
      </c>
      <c r="F5" s="44" t="s">
        <v>1143</v>
      </c>
      <c r="G5" s="44" t="s">
        <v>285</v>
      </c>
      <c r="H5" s="44" t="s">
        <v>179</v>
      </c>
      <c r="I5" s="44" t="s">
        <v>1478</v>
      </c>
      <c r="J5" s="44" t="s">
        <v>1479</v>
      </c>
    </row>
    <row r="6" customFormat="false" ht="15" hidden="false" customHeight="true" outlineLevel="0" collapsed="false">
      <c r="A6" s="44" t="s">
        <v>1480</v>
      </c>
      <c r="B6" s="44" t="s">
        <v>1462</v>
      </c>
      <c r="C6" s="44" t="s">
        <v>216</v>
      </c>
      <c r="D6" s="44" t="s">
        <v>179</v>
      </c>
      <c r="E6" s="44" t="s">
        <v>1104</v>
      </c>
      <c r="F6" s="44" t="s">
        <v>1108</v>
      </c>
      <c r="G6" s="44" t="s">
        <v>285</v>
      </c>
      <c r="H6" s="44" t="s">
        <v>179</v>
      </c>
      <c r="I6" s="44" t="s">
        <v>1478</v>
      </c>
      <c r="J6" s="44" t="s">
        <v>1479</v>
      </c>
    </row>
    <row r="8" customFormat="false" ht="15" hidden="false" customHeight="true" outlineLevel="0" collapsed="false">
      <c r="A8" s="1" t="s">
        <v>1481</v>
      </c>
    </row>
    <row r="9" customFormat="false" ht="15" hidden="false" customHeight="true" outlineLevel="0" collapsed="false">
      <c r="A9" s="1" t="s">
        <v>1482</v>
      </c>
      <c r="B9" s="1" t="s">
        <v>169</v>
      </c>
      <c r="C9" s="1" t="s">
        <v>1483</v>
      </c>
      <c r="D9" s="1" t="s">
        <v>170</v>
      </c>
      <c r="E9" s="1" t="s">
        <v>1167</v>
      </c>
      <c r="F9" s="1" t="s">
        <v>885</v>
      </c>
      <c r="G9" s="1" t="s">
        <v>1484</v>
      </c>
    </row>
    <row r="10" customFormat="false" ht="15" hidden="false" customHeight="true" outlineLevel="0" collapsed="false">
      <c r="A10" s="1" t="s">
        <v>280</v>
      </c>
      <c r="B10" s="1" t="s">
        <v>281</v>
      </c>
      <c r="C10" s="1" t="s">
        <v>261</v>
      </c>
      <c r="D10" s="1" t="s">
        <v>210</v>
      </c>
      <c r="E10" s="1" t="s">
        <v>1485</v>
      </c>
      <c r="F10" s="1" t="s">
        <v>1486</v>
      </c>
      <c r="G10" s="47" t="n">
        <v>46320</v>
      </c>
    </row>
    <row r="11" customFormat="false" ht="15" hidden="false" customHeight="true" outlineLevel="0" collapsed="false">
      <c r="A11" s="1" t="s">
        <v>248</v>
      </c>
      <c r="B11" s="1" t="s">
        <v>249</v>
      </c>
      <c r="C11" s="1" t="s">
        <v>238</v>
      </c>
      <c r="D11" s="1" t="s">
        <v>210</v>
      </c>
      <c r="E11" s="1" t="s">
        <v>1487</v>
      </c>
      <c r="F11" s="1" t="s">
        <v>1488</v>
      </c>
      <c r="G11" s="47" t="n">
        <v>46568</v>
      </c>
    </row>
    <row r="12" customFormat="false" ht="15" hidden="false" customHeight="true" outlineLevel="0" collapsed="false">
      <c r="A12" s="1" t="s">
        <v>307</v>
      </c>
      <c r="B12" s="1" t="s">
        <v>308</v>
      </c>
      <c r="C12" s="1" t="s">
        <v>261</v>
      </c>
      <c r="D12" s="1" t="s">
        <v>210</v>
      </c>
      <c r="E12" s="1" t="s">
        <v>1489</v>
      </c>
      <c r="F12" s="1" t="s">
        <v>1488</v>
      </c>
      <c r="G12" s="47" t="n">
        <v>46568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1" width="18"/>
    <col collapsed="false" customWidth="true" hidden="false" outlineLevel="0" max="4" min="3" style="1" width="24"/>
    <col collapsed="false" customWidth="true" hidden="false" outlineLevel="0" max="6" min="5" style="1" width="16"/>
    <col collapsed="false" customWidth="true" hidden="false" outlineLevel="0" max="8" min="7" style="1" width="18"/>
    <col collapsed="false" customWidth="true" hidden="false" outlineLevel="0" max="9" min="9" style="1" width="20"/>
    <col collapsed="false" customWidth="true" hidden="false" outlineLevel="0" max="10" min="10" style="1" width="44"/>
  </cols>
  <sheetData>
    <row r="1" customFormat="false" ht="50.25" hidden="false" customHeight="true" outlineLevel="0" collapsed="false">
      <c r="A1" s="45" t="s">
        <v>1490</v>
      </c>
      <c r="B1" s="45"/>
      <c r="C1" s="45"/>
      <c r="D1" s="45"/>
      <c r="E1" s="45"/>
      <c r="F1" s="45"/>
      <c r="G1" s="45"/>
      <c r="H1" s="45"/>
    </row>
    <row r="2" customFormat="false" ht="95.25" hidden="false" customHeight="true" outlineLevel="0" collapsed="false">
      <c r="A2" s="44" t="s">
        <v>1491</v>
      </c>
      <c r="B2" s="44"/>
      <c r="C2" s="44"/>
      <c r="D2" s="44"/>
      <c r="E2" s="44"/>
      <c r="F2" s="44"/>
      <c r="G2" s="44"/>
      <c r="H2" s="44"/>
    </row>
    <row r="3" customFormat="false" ht="27.75" hidden="false" customHeight="true" outlineLevel="0" collapsed="false">
      <c r="A3" s="46" t="s">
        <v>869</v>
      </c>
      <c r="B3" s="46" t="s">
        <v>1492</v>
      </c>
      <c r="C3" s="46" t="s">
        <v>1493</v>
      </c>
      <c r="D3" s="46" t="s">
        <v>318</v>
      </c>
      <c r="E3" s="46" t="s">
        <v>572</v>
      </c>
      <c r="F3" s="46" t="s">
        <v>323</v>
      </c>
      <c r="G3" s="46" t="s">
        <v>1494</v>
      </c>
      <c r="H3" s="46" t="s">
        <v>1495</v>
      </c>
      <c r="I3" s="1" t="s">
        <v>1496</v>
      </c>
      <c r="J3" s="1" t="s">
        <v>1497</v>
      </c>
      <c r="K3" s="1" t="s">
        <v>1498</v>
      </c>
      <c r="L3" s="1" t="s">
        <v>1499</v>
      </c>
    </row>
    <row r="4" customFormat="false" ht="95.25" hidden="false" customHeight="true" outlineLevel="0" collapsed="false">
      <c r="A4" s="44" t="s">
        <v>1500</v>
      </c>
      <c r="B4" s="44" t="s">
        <v>1501</v>
      </c>
      <c r="C4" s="44" t="s">
        <v>1502</v>
      </c>
      <c r="D4" s="44" t="s">
        <v>194</v>
      </c>
      <c r="E4" s="44" t="s">
        <v>1503</v>
      </c>
      <c r="F4" s="44" t="s">
        <v>627</v>
      </c>
      <c r="G4" s="44" t="s">
        <v>1504</v>
      </c>
      <c r="H4" s="44"/>
      <c r="L4" s="1" t="s">
        <v>1505</v>
      </c>
    </row>
    <row r="5" customFormat="false" ht="54.75" hidden="false" customHeight="true" outlineLevel="0" collapsed="false">
      <c r="A5" s="44" t="s">
        <v>1506</v>
      </c>
      <c r="B5" s="44" t="s">
        <v>1501</v>
      </c>
      <c r="C5" s="44" t="s">
        <v>1507</v>
      </c>
      <c r="D5" s="44" t="s">
        <v>203</v>
      </c>
      <c r="E5" s="44" t="s">
        <v>1503</v>
      </c>
      <c r="F5" s="44" t="s">
        <v>1508</v>
      </c>
      <c r="G5" s="44" t="s">
        <v>1509</v>
      </c>
      <c r="H5" s="44" t="s">
        <v>1507</v>
      </c>
      <c r="I5" s="1" t="s">
        <v>1510</v>
      </c>
      <c r="J5" s="1" t="s">
        <v>1511</v>
      </c>
      <c r="K5" s="1" t="s">
        <v>1512</v>
      </c>
      <c r="L5" s="1" t="s">
        <v>1505</v>
      </c>
    </row>
    <row r="6" customFormat="false" ht="68.25" hidden="false" customHeight="true" outlineLevel="0" collapsed="false">
      <c r="A6" s="44" t="s">
        <v>1513</v>
      </c>
      <c r="B6" s="44" t="s">
        <v>1514</v>
      </c>
      <c r="C6" s="44" t="s">
        <v>1515</v>
      </c>
      <c r="D6" s="44" t="s">
        <v>218</v>
      </c>
      <c r="E6" s="44" t="s">
        <v>242</v>
      </c>
      <c r="F6" s="44" t="s">
        <v>934</v>
      </c>
      <c r="G6" s="44" t="s">
        <v>1516</v>
      </c>
      <c r="H6" s="44" t="s">
        <v>1515</v>
      </c>
      <c r="L6" s="1" t="s">
        <v>1517</v>
      </c>
    </row>
    <row r="7" customFormat="false" ht="95.25" hidden="false" customHeight="true" outlineLevel="0" collapsed="false">
      <c r="A7" s="44" t="s">
        <v>1518</v>
      </c>
      <c r="B7" s="44" t="s">
        <v>1514</v>
      </c>
      <c r="C7" s="44" t="s">
        <v>1458</v>
      </c>
      <c r="D7" s="44" t="s">
        <v>177</v>
      </c>
      <c r="E7" s="44" t="s">
        <v>242</v>
      </c>
      <c r="F7" s="44" t="s">
        <v>627</v>
      </c>
      <c r="G7" s="44" t="s">
        <v>1519</v>
      </c>
      <c r="H7" s="44" t="s">
        <v>1458</v>
      </c>
      <c r="I7" s="1" t="s">
        <v>1520</v>
      </c>
      <c r="L7" s="1" t="s">
        <v>1517</v>
      </c>
    </row>
    <row r="8" customFormat="false" ht="81.75" hidden="false" customHeight="true" outlineLevel="0" collapsed="false">
      <c r="A8" s="44" t="s">
        <v>1521</v>
      </c>
      <c r="B8" s="44" t="s">
        <v>1501</v>
      </c>
      <c r="C8" s="44" t="s">
        <v>1226</v>
      </c>
      <c r="D8" s="44" t="s">
        <v>189</v>
      </c>
      <c r="E8" s="44" t="s">
        <v>1503</v>
      </c>
      <c r="F8" s="44" t="s">
        <v>627</v>
      </c>
      <c r="G8" s="44" t="s">
        <v>1522</v>
      </c>
      <c r="H8" s="44" t="s">
        <v>1226</v>
      </c>
      <c r="I8" s="1" t="s">
        <v>1523</v>
      </c>
      <c r="L8" s="1" t="s">
        <v>1524</v>
      </c>
    </row>
    <row r="9" customFormat="false" ht="54.75" hidden="false" customHeight="true" outlineLevel="0" collapsed="false">
      <c r="A9" s="44" t="s">
        <v>1525</v>
      </c>
      <c r="B9" s="44" t="s">
        <v>1514</v>
      </c>
      <c r="C9" s="44" t="s">
        <v>1462</v>
      </c>
      <c r="D9" s="44" t="s">
        <v>200</v>
      </c>
      <c r="E9" s="44" t="s">
        <v>242</v>
      </c>
      <c r="F9" s="44" t="s">
        <v>1508</v>
      </c>
      <c r="G9" s="44" t="s">
        <v>1526</v>
      </c>
      <c r="H9" s="44" t="s">
        <v>1462</v>
      </c>
      <c r="I9" s="1" t="s">
        <v>1527</v>
      </c>
      <c r="J9" s="1" t="s">
        <v>1528</v>
      </c>
      <c r="K9" s="1" t="s">
        <v>1529</v>
      </c>
      <c r="L9" s="1" t="s">
        <v>1517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1" width="18"/>
    <col collapsed="false" customWidth="true" hidden="false" outlineLevel="0" max="4" min="3" style="1" width="24"/>
    <col collapsed="false" customWidth="true" hidden="false" outlineLevel="0" max="6" min="5" style="1" width="16"/>
    <col collapsed="false" customWidth="true" hidden="false" outlineLevel="0" max="8" min="7" style="1" width="18"/>
    <col collapsed="false" customWidth="true" hidden="false" outlineLevel="0" max="9" min="9" style="1" width="20"/>
    <col collapsed="false" customWidth="true" hidden="false" outlineLevel="0" max="10" min="10" style="1" width="44"/>
  </cols>
  <sheetData>
    <row r="1" customFormat="false" ht="66.75" hidden="false" customHeight="true" outlineLevel="0" collapsed="false">
      <c r="A1" s="45" t="s">
        <v>1530</v>
      </c>
      <c r="B1" s="45"/>
      <c r="C1" s="45"/>
      <c r="D1" s="45"/>
      <c r="E1" s="45"/>
      <c r="F1" s="45"/>
      <c r="G1" s="45"/>
      <c r="H1" s="45"/>
      <c r="I1" s="45"/>
    </row>
    <row r="2" customFormat="false" ht="95.25" hidden="false" customHeight="true" outlineLevel="0" collapsed="false">
      <c r="A2" s="44" t="s">
        <v>1531</v>
      </c>
      <c r="B2" s="44"/>
      <c r="C2" s="44"/>
      <c r="D2" s="44"/>
      <c r="E2" s="44"/>
      <c r="F2" s="44"/>
      <c r="G2" s="44"/>
      <c r="H2" s="44"/>
      <c r="I2" s="44"/>
    </row>
    <row r="3" customFormat="false" ht="15" hidden="false" customHeight="true" outlineLevel="0" collapsed="false">
      <c r="A3" s="46" t="s">
        <v>1455</v>
      </c>
      <c r="B3" s="46" t="s">
        <v>318</v>
      </c>
      <c r="C3" s="46" t="s">
        <v>1098</v>
      </c>
      <c r="D3" s="46" t="s">
        <v>911</v>
      </c>
      <c r="E3" s="46" t="s">
        <v>413</v>
      </c>
      <c r="F3" s="46" t="s">
        <v>1532</v>
      </c>
      <c r="G3" s="46"/>
      <c r="H3" s="46"/>
      <c r="I3" s="46"/>
    </row>
    <row r="4" customFormat="false" ht="41.25" hidden="false" customHeight="true" outlineLevel="0" collapsed="false">
      <c r="A4" s="44" t="s">
        <v>1459</v>
      </c>
      <c r="B4" s="44" t="s">
        <v>189</v>
      </c>
      <c r="C4" s="44" t="s">
        <v>1458</v>
      </c>
      <c r="D4" s="44" t="s">
        <v>369</v>
      </c>
      <c r="E4" s="44" t="n">
        <v>2</v>
      </c>
      <c r="F4" s="44" t="s">
        <v>1533</v>
      </c>
      <c r="G4" s="44"/>
      <c r="H4" s="44"/>
      <c r="I4" s="44"/>
    </row>
    <row r="5" customFormat="false" ht="27.75" hidden="false" customHeight="true" outlineLevel="0" collapsed="false">
      <c r="A5" s="44" t="s">
        <v>1464</v>
      </c>
      <c r="B5" s="44" t="s">
        <v>200</v>
      </c>
      <c r="C5" s="44" t="s">
        <v>1226</v>
      </c>
      <c r="D5" s="44" t="s">
        <v>373</v>
      </c>
      <c r="E5" s="44" t="n">
        <v>3</v>
      </c>
      <c r="F5" s="44" t="s">
        <v>1534</v>
      </c>
      <c r="G5" s="44"/>
      <c r="H5" s="44"/>
      <c r="I5" s="44"/>
    </row>
    <row r="6" customFormat="false" ht="27.75" hidden="false" customHeight="true" outlineLevel="0" collapsed="false">
      <c r="A6" s="44" t="s">
        <v>1466</v>
      </c>
      <c r="B6" s="44" t="s">
        <v>208</v>
      </c>
      <c r="C6" s="44" t="s">
        <v>1226</v>
      </c>
      <c r="D6" s="44" t="s">
        <v>381</v>
      </c>
      <c r="E6" s="44" t="n">
        <v>2</v>
      </c>
      <c r="F6" s="44" t="s">
        <v>1535</v>
      </c>
      <c r="G6" s="44"/>
      <c r="H6" s="44"/>
      <c r="I6" s="44"/>
    </row>
    <row r="7" customFormat="false" ht="81.75" hidden="false" customHeight="true" outlineLevel="0" collapsed="false">
      <c r="A7" s="44" t="s">
        <v>1468</v>
      </c>
      <c r="B7" s="44" t="s">
        <v>212</v>
      </c>
      <c r="C7" s="44" t="s">
        <v>1226</v>
      </c>
      <c r="D7" s="44" t="s">
        <v>386</v>
      </c>
      <c r="E7" s="44" t="n">
        <v>1</v>
      </c>
      <c r="F7" s="44" t="s">
        <v>1536</v>
      </c>
      <c r="G7" s="44"/>
      <c r="H7" s="44"/>
      <c r="I7" s="4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2026-09-19T04:39:15Z</dcterms:created>
  <dc:creator>openpyxl</dc:creator>
  <dc:description/>
  <dc:language>en-US</dc:language>
  <cp:lastModifiedBy/>
  <dcterms:modified xsi:type="dcterms:W3CDTF">2026-09-26T14:03:43Z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