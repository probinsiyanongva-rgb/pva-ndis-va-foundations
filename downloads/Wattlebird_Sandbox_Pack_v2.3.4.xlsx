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rovider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Roster" sheetId="5" state="visible" r:id="rId5"/>
    <sheet xmlns:r="http://schemas.openxmlformats.org/officeDocument/2006/relationships" name="Price_Table" sheetId="6" state="visible" r:id="rId6"/>
    <sheet xmlns:r="http://schemas.openxmlformats.org/officeDocument/2006/relationships" name="Invoice_Batch" sheetId="7" state="visible" r:id="rId7"/>
    <sheet xmlns:r="http://schemas.openxmlformats.org/officeDocument/2006/relationships" name="Inbox" sheetId="8" state="visible" r:id="rId8"/>
    <sheet xmlns:r="http://schemas.openxmlformats.org/officeDocument/2006/relationships" name="Task_Board" sheetId="9" state="visible" r:id="rId9"/>
    <sheet xmlns:r="http://schemas.openxmlformats.org/officeDocument/2006/relationships" name="Incident_Log" sheetId="10" state="visible" r:id="rId10"/>
    <sheet xmlns:r="http://schemas.openxmlformats.org/officeDocument/2006/relationships" name="Complaints_Log" sheetId="11" state="visible" r:id="rId11"/>
    <sheet xmlns:r="http://schemas.openxmlformats.org/officeDocument/2006/relationships" name="Follow_Up_Log" sheetId="12" state="visible" r:id="rId12"/>
    <sheet xmlns:r="http://schemas.openxmlformats.org/officeDocument/2006/relationships" name="Security_Extensions" sheetId="13" state="visible" r:id="rId13"/>
    <sheet xmlns:r="http://schemas.openxmlformats.org/officeDocument/2006/relationships" name="M6_Fictional_Plan" sheetId="14" state="visible" r:id="rId14"/>
    <sheet xmlns:r="http://schemas.openxmlformats.org/officeDocument/2006/relationships" name="M7_Tickets" sheetId="15" state="visible" r:id="rId15"/>
    <sheet xmlns:r="http://schemas.openxmlformats.org/officeDocument/2006/relationships" name="M10_Onboarding" sheetId="16" state="visible" r:id="rId16"/>
    <sheet xmlns:r="http://schemas.openxmlformats.org/officeDocument/2006/relationships" name="M10_Agreement" sheetId="17" state="visible" r:id="rId17"/>
    <sheet xmlns:r="http://schemas.openxmlformats.org/officeDocument/2006/relationships" name="M14_Systems_ReadMe" sheetId="18" state="visible" r:id="rId18"/>
    <sheet xmlns:r="http://schemas.openxmlformats.org/officeDocument/2006/relationships" name="M14_Participants" sheetId="19" state="visible" r:id="rId19"/>
    <sheet xmlns:r="http://schemas.openxmlformats.org/officeDocument/2006/relationships" name="M14_Staff" sheetId="20" state="visible" r:id="rId20"/>
    <sheet xmlns:r="http://schemas.openxmlformats.org/officeDocument/2006/relationships" name="M14_Bookings" sheetId="21" state="visible" r:id="rId21"/>
    <sheet xmlns:r="http://schemas.openxmlformats.org/officeDocument/2006/relationships" name="M14_Claims" sheetId="22" state="visible" r:id="rId22"/>
    <sheet xmlns:r="http://schemas.openxmlformats.org/officeDocument/2006/relationships" name="M14_Incidents" sheetId="23" state="visible" r:id="rId23"/>
    <sheet xmlns:r="http://schemas.openxmlformats.org/officeDocument/2006/relationships" name="M14_SOP_Task" sheetId="24" state="visible" r:id="rId24"/>
    <sheet xmlns:r="http://schemas.openxmlformats.org/officeDocument/2006/relationships" name="M15_Capstone" sheetId="25" state="visible" r:id="rId25"/>
    <sheet xmlns:r="http://schemas.openxmlformats.org/officeDocument/2006/relationships" name="M16_Portfolio" sheetId="26" state="visible" r:id="rId26"/>
    <sheet xmlns:r="http://schemas.openxmlformats.org/officeDocument/2006/relationships" name="Certification_Rubric" sheetId="27" state="visible" r:id="rId27"/>
    <sheet xmlns:r="http://schemas.openxmlformats.org/officeDocument/2006/relationships" name="Source_Verification" sheetId="28" state="visible" r:id="rId28"/>
    <sheet xmlns:r="http://schemas.openxmlformats.org/officeDocument/2006/relationships" name="QA_Checklist" sheetId="29" state="visible" r:id="rId29"/>
    <sheet xmlns:r="http://schemas.openxmlformats.org/officeDocument/2006/relationships" name="M11_Service_Delivery" sheetId="30" state="visible" r:id="rId30"/>
    <sheet xmlns:r="http://schemas.openxmlformats.org/officeDocument/2006/relationships" name="M1_Job_Post" sheetId="31" state="visible" r:id="rId31"/>
    <sheet xmlns:r="http://schemas.openxmlformats.org/officeDocument/2006/relationships" name="M1_Profile_Template" sheetId="32" state="visible" r:id="rId32"/>
    <sheet xmlns:r="http://schemas.openxmlformats.org/officeDocument/2006/relationships" name="M2_Weak_Drafts" sheetId="33" state="visible" r:id="rId33"/>
    <sheet xmlns:r="http://schemas.openxmlformats.org/officeDocument/2006/relationships" name="M2_Incomplete_Questions" sheetId="34" state="visible" r:id="rId34"/>
    <sheet xmlns:r="http://schemas.openxmlformats.org/officeDocument/2006/relationships" name="M3_Messy_Files" sheetId="35" state="visible" r:id="rId35"/>
    <sheet xmlns:r="http://schemas.openxmlformats.org/officeDocument/2006/relationships" name="M4_Format_Trap" sheetId="36" state="visible" r:id="rId36"/>
    <sheet xmlns:r="http://schemas.openxmlformats.org/officeDocument/2006/relationships" name="M4_Handover_Template" sheetId="37" state="visible" r:id="rId37"/>
    <sheet xmlns:r="http://schemas.openxmlformats.org/officeDocument/2006/relationships" name="M5_Situations" sheetId="38" state="visible" r:id="rId38"/>
    <sheet xmlns:r="http://schemas.openxmlformats.org/officeDocument/2006/relationships" name="M5_Safe_Questions" sheetId="39" state="visible" r:id="rId39"/>
    <sheet xmlns:r="http://schemas.openxmlformats.org/officeDocument/2006/relationships" name="M8_Pricing_Check_Log" sheetId="40" state="visible" r:id="rId40"/>
    <sheet xmlns:r="http://schemas.openxmlformats.org/officeDocument/2006/relationships" name="M9_Extended_Practice" sheetId="41" state="visible" r:id="rId41"/>
    <sheet xmlns:r="http://schemas.openxmlformats.org/officeDocument/2006/relationships" name="M12_Security_Practice" sheetId="42" state="visible" r:id="rId42"/>
    <sheet xmlns:r="http://schemas.openxmlformats.org/officeDocument/2006/relationships" name="M17_Trial_Pack" sheetId="43" state="visible" r:id="rId43"/>
    <sheet xmlns:r="http://schemas.openxmlformats.org/officeDocument/2006/relationships" name="M17_30_Day_Plan" sheetId="44" state="visible" r:id="rId44"/>
    <sheet xmlns:r="http://schemas.openxmlformats.org/officeDocument/2006/relationships" name="M16_Outreach_Template" sheetId="45" state="visible" r:id="rId45"/>
    <sheet xmlns:r="http://schemas.openxmlformats.org/officeDocument/2006/relationships" name="Calibration_Exemplars" sheetId="46" state="visible" r:id="rId46"/>
    <sheet xmlns:r="http://schemas.openxmlformats.org/officeDocument/2006/relationships" name="Self_Audit_Guide" sheetId="47" state="visible" r:id="rId47"/>
    <sheet xmlns:r="http://schemas.openxmlformats.org/officeDocument/2006/relationships" name="Asset_Change_Log" sheetId="48" state="visible" r:id="rId48"/>
    <sheet xmlns:r="http://schemas.openxmlformats.org/officeDocument/2006/relationships" name="M11_Invoice_Check_Log" sheetId="49" state="visible" r:id="rId49"/>
    <sheet xmlns:r="http://schemas.openxmlformats.org/officeDocument/2006/relationships" name="M6_Support_Requests" sheetId="50" state="visible" r:id="rId50"/>
  </sheets>
  <definedNames>
    <definedName name="_xlnm._FilterDatabase" localSheetId="11" hidden="1">'Follow_Up_Log'!$A$4:$K$23</definedName>
    <definedName name="_xlnm._FilterDatabase" localSheetId="12" hidden="1">'Security_Extensions'!$A$4:$G$8</definedName>
    <definedName name="_xlnm._FilterDatabase" localSheetId="14" hidden="1">'M7_Tickets'!$A$4:$I$14</definedName>
    <definedName name="_xlnm._FilterDatabase" localSheetId="18" hidden="1">'M14_Participants'!$A$4:$G$7</definedName>
    <definedName name="_xlnm._FilterDatabase" localSheetId="19" hidden="1">'M14_Staff'!$A$4:$H$8</definedName>
    <definedName name="_xlnm._FilterDatabase" localSheetId="20" hidden="1">'M14_Bookings'!$A$4:$I$8</definedName>
    <definedName name="_xlnm._FilterDatabase" localSheetId="21" hidden="1">'M14_Claims'!$A$4:$I$8</definedName>
    <definedName name="_xlnm._FilterDatabase" localSheetId="22" hidden="1">'M14_Incidents'!$A$4:$H$7</definedName>
    <definedName name="_xlnm._FilterDatabase" localSheetId="24" hidden="1">'M15_Capstone'!$A$4:$J$14</definedName>
    <definedName name="_xlnm._FilterDatabase" localSheetId="29" hidden="1">'M11_Service_Delivery'!$A$3:$K$20</definedName>
    <definedName name="_xlnm._FilterDatabase" localSheetId="30" hidden="1">'M1_Job_Post'!$A$3:$B$11</definedName>
    <definedName name="_xlnm._FilterDatabase" localSheetId="31" hidden="1">'M1_Profile_Template'!$A$3:$B$11</definedName>
    <definedName name="_xlnm._FilterDatabase" localSheetId="32" hidden="1">'M2_Weak_Drafts'!$A$3:$D$6</definedName>
    <definedName name="_xlnm._FilterDatabase" localSheetId="33" hidden="1">'M2_Incomplete_Questions'!$A$3:$D$8</definedName>
    <definedName name="_xlnm._FilterDatabase" localSheetId="34" hidden="1">'M3_Messy_Files'!$A$3:$D$8</definedName>
    <definedName name="_xlnm._FilterDatabase" localSheetId="35" hidden="1">'M4_Format_Trap'!$A$3:$D$7</definedName>
    <definedName name="_xlnm._FilterDatabase" localSheetId="36" hidden="1">'M4_Handover_Template'!$A$3:$B$13</definedName>
    <definedName name="_xlnm._FilterDatabase" localSheetId="37" hidden="1">'M5_Situations'!$A$3:$D$8</definedName>
    <definedName name="_xlnm._FilterDatabase" localSheetId="38" hidden="1">'M5_Safe_Questions'!$A$3:$D$6</definedName>
    <definedName name="_xlnm._FilterDatabase" localSheetId="39" hidden="1">'M8_Pricing_Check_Log'!$A$3:$I$3</definedName>
    <definedName name="_xlnm._FilterDatabase" localSheetId="40" hidden="1">'M9_Extended_Practice'!$A$3:$I$6</definedName>
    <definedName name="_xlnm._FilterDatabase" localSheetId="41" hidden="1">'M12_Security_Practice'!$A$3:$E$6</definedName>
    <definedName name="_xlnm._FilterDatabase" localSheetId="42" hidden="1">'M17_Trial_Pack'!$A$3:$D$6</definedName>
    <definedName name="_xlnm._FilterDatabase" localSheetId="43" hidden="1">'M17_30_Day_Plan'!$A$3:$B$13</definedName>
    <definedName name="_xlnm._FilterDatabase" localSheetId="44" hidden="1">'M16_Outreach_Template'!$A$3:$B$11</definedName>
    <definedName name="_xlnm._FilterDatabase" localSheetId="45" hidden="1">'Calibration_Exemplars'!$A$3:$E$13</definedName>
    <definedName name="_xlnm._FilterDatabase" localSheetId="46" hidden="1">'Self_Audit_Guide'!$A$3:$E$13</definedName>
    <definedName name="_xlnm._FilterDatabase" localSheetId="47" hidden="1">'Asset_Change_Log'!$A$3:$H$4</definedName>
    <definedName name="_xlnm._FilterDatabase" localSheetId="48" hidden="1">'M11_Invoice_Check_Log'!$A$3:$M$3</definedName>
    <definedName name="_xlnm._FilterDatabase" localSheetId="49" hidden="1">'M6_Support_Requests'!$A$3:$F$6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ddd\ d\ mmm\ yyyy"/>
    <numFmt numFmtId="165" formatCode="\$#,##0"/>
    <numFmt numFmtId="166" formatCode="0.0"/>
    <numFmt numFmtId="167" formatCode="h:mm\ AM/PM"/>
    <numFmt numFmtId="168" formatCode="\$#,##0.00"/>
    <numFmt numFmtId="169" formatCode="dd/mm/yyyy"/>
    <numFmt numFmtId="170" formatCode="hh:mm"/>
    <numFmt numFmtId="171" formatCode="yyyy\-mm\-dd\ h:mm:ss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6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4E5F"/>
      <sz val="11"/>
    </font>
    <font>
      <name val="Cambria"/>
      <charset val="1"/>
      <family val="0"/>
      <b val="1"/>
      <sz val="11"/>
    </font>
    <font>
      <name val="Arial"/>
      <charset val="1"/>
      <family val="0"/>
      <color rgb="FFFFFFFF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1"/>
    </font>
    <font>
      <name val="Arial"/>
      <charset val="1"/>
      <family val="0"/>
      <i val="1"/>
      <color rgb="FF000000"/>
      <sz val="10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i val="1"/>
      <color rgb="FF404040"/>
      <sz val="11"/>
    </font>
  </fonts>
  <fills count="7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4E5F"/>
        <bgColor rgb="FF404040"/>
      </patternFill>
    </fill>
    <fill>
      <patternFill patternType="solid">
        <fgColor rgb="FFEDEDED"/>
        <bgColor rgb="FFD9E2E8"/>
      </patternFill>
    </fill>
    <fill>
      <patternFill patternType="solid">
        <fgColor rgb="FF1F6F5B"/>
        <bgColor rgb="FF2F855A"/>
      </patternFill>
    </fill>
    <fill>
      <patternFill patternType="solid">
        <fgColor rgb="FF2F855A"/>
        <bgColor rgb="FF1F6F5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164" fontId="7" fillId="0" borderId="2" applyAlignment="1" pivotButton="0" quotePrefix="0" xfId="0">
      <alignment horizontal="general" vertical="top" wrapText="1"/>
    </xf>
    <xf numFmtId="165" fontId="7" fillId="0" borderId="2" applyAlignment="1" pivotButton="0" quotePrefix="0" xfId="0">
      <alignment horizontal="general" vertical="top" wrapText="1"/>
    </xf>
    <xf numFmtId="166" fontId="7" fillId="0" borderId="1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167" fontId="7" fillId="0" borderId="1" applyAlignment="1" pivotButton="0" quotePrefix="0" xfId="0">
      <alignment horizontal="general" vertical="top" wrapText="1"/>
    </xf>
    <xf numFmtId="0" fontId="7" fillId="2" borderId="2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8" fontId="7" fillId="0" borderId="1" applyAlignment="1" pivotButton="0" quotePrefix="0" xfId="0">
      <alignment horizontal="general" vertical="top" wrapText="1"/>
    </xf>
    <xf numFmtId="168" fontId="6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top" wrapText="1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0" fontId="14" fillId="4" borderId="2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top" wrapText="1"/>
    </xf>
    <xf numFmtId="0" fontId="13" fillId="6" borderId="0" applyAlignment="1" pivotButton="0" quotePrefix="0" xfId="0">
      <alignment horizontal="general" vertical="top" wrapText="1"/>
    </xf>
    <xf numFmtId="0" fontId="13" fillId="3" borderId="3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general" vertical="top" wrapText="1"/>
    </xf>
    <xf numFmtId="17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1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164" fontId="7" fillId="0" borderId="2" applyAlignment="1" pivotButton="0" quotePrefix="0" xfId="0">
      <alignment horizontal="general" vertical="top" wrapText="1"/>
    </xf>
    <xf numFmtId="165" fontId="7" fillId="0" borderId="2" applyAlignment="1" pivotButton="0" quotePrefix="0" xfId="0">
      <alignment horizontal="general" vertical="top" wrapText="1"/>
    </xf>
    <xf numFmtId="166" fontId="7" fillId="0" borderId="1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167" fontId="7" fillId="0" borderId="1" applyAlignment="1" pivotButton="0" quotePrefix="0" xfId="0">
      <alignment horizontal="general" vertical="top" wrapText="1"/>
    </xf>
    <xf numFmtId="0" fontId="7" fillId="2" borderId="2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8" fontId="7" fillId="0" borderId="1" applyAlignment="1" pivotButton="0" quotePrefix="0" xfId="0">
      <alignment horizontal="general" vertical="top" wrapText="1"/>
    </xf>
    <xf numFmtId="168" fontId="6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top" wrapText="1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0" fontId="14" fillId="4" borderId="2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top" wrapText="1"/>
    </xf>
    <xf numFmtId="0" fontId="13" fillId="6" borderId="0" applyAlignment="1" pivotButton="0" quotePrefix="0" xfId="0">
      <alignment horizontal="general" vertical="top" wrapText="1"/>
    </xf>
    <xf numFmtId="0" fontId="13" fillId="3" borderId="3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general" vertical="top" wrapText="1"/>
    </xf>
    <xf numFmtId="17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16" fillId="0" borderId="0" applyAlignment="1" pivotButton="0" quotePrefix="0" xfId="0">
      <alignment horizontal="general" vertical="bottom"/>
    </xf>
    <xf numFmtId="171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855A"/>
          <bgColor rgb="FF000000"/>
        </patternFill>
      </fill>
    </dxf>
    <dxf>
      <fill>
        <patternFill patternType="solid">
          <fgColor rgb="FF1F6F5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B"/>
      <rgbColor rgb="FFBFBFBF"/>
      <rgbColor rgb="FF595959"/>
      <rgbColor rgb="FF9999FF"/>
      <rgbColor rgb="FF993366"/>
      <rgbColor rgb="FFFFF2CC"/>
      <rgbColor rgb="FFEDEDED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8"/>
      <rgbColor rgb="FFCCFFCC"/>
      <rgbColor rgb="FFFFFF99"/>
      <rgbColor rgb="FF99CCFF"/>
      <rgbColor rgb="FFFF99CC"/>
      <rgbColor rgb="FFCC99FF"/>
      <rgbColor rgb="FFFFCC99"/>
      <rgbColor rgb="FF3366FF"/>
      <rgbColor rgb="FF38B2AC"/>
      <rgbColor rgb="FF99CC00"/>
      <rgbColor rgb="FFFFCC00"/>
      <rgbColor rgb="FFD9A441"/>
      <rgbColor rgb="FFFF6600"/>
      <rgbColor rgb="FF666666"/>
      <rgbColor rgb="FF969696"/>
      <rgbColor rgb="FF1F4E5F"/>
      <rgbColor rgb="FF2F855A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B1:D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44" min="1" max="1"/>
    <col width="42" customWidth="1" style="44" min="2" max="4"/>
  </cols>
  <sheetData>
    <row r="1" ht="19.5" customHeight="1" s="45">
      <c r="B1" s="46" t="inlineStr">
        <is>
          <t>Wattlebird Support Services: Practice Pack</t>
        </is>
      </c>
    </row>
    <row r="2" ht="15" customHeight="1" s="45">
      <c r="B2" s="47" t="inlineStr">
        <is>
          <t>PVA Academy | NDIS Virtual Assistant Foundations | FICTIONAL DATA ONLY</t>
        </is>
      </c>
    </row>
    <row r="4" ht="21.75" customHeight="1" s="45">
      <c r="B4" s="48" t="inlineStr">
        <is>
          <t>Wattlebird 'today' (simulation date)</t>
        </is>
      </c>
      <c r="C4" s="49" t="n">
        <v>46328</v>
      </c>
      <c r="D4" s="50" t="inlineStr">
        <is>
          <t>The practice week starts on this Monday. Formulas use it instead of today's real date. Please don't change it.</t>
        </is>
      </c>
    </row>
    <row r="5" ht="15" customHeight="1" s="45">
      <c r="B5" s="48" t="inlineStr">
        <is>
          <t>Screening reminder window (days)</t>
        </is>
      </c>
      <c r="C5" s="51" t="n">
        <v>60</v>
      </c>
      <c r="D5" s="50" t="inlineStr">
        <is>
          <t>Wattlebird's own fictional rule: flag screening checks expiring within this many days.</t>
        </is>
      </c>
    </row>
    <row r="7" ht="15" customHeight="1" s="45">
      <c r="B7" s="52" t="inlineStr">
        <is>
          <t>Colour legend</t>
        </is>
      </c>
    </row>
    <row r="8" ht="15" customHeight="1" s="45">
      <c r="B8" s="53" t="inlineStr">
        <is>
          <t>Staff records in this pack</t>
        </is>
      </c>
      <c r="C8" s="51" t="n">
        <v>21</v>
      </c>
      <c r="D8" s="54" t="inlineStr">
        <is>
          <t>Corrected: 21 fictional staff records are included.</t>
        </is>
      </c>
    </row>
    <row r="9" ht="15" customHeight="1" s="45">
      <c r="B9" s="55" t="inlineStr">
        <is>
          <t>Teal header row</t>
        </is>
      </c>
      <c r="C9" s="51" t="inlineStr">
        <is>
          <t>Column names</t>
        </is>
      </c>
    </row>
    <row r="10" ht="15" customHeight="1" s="45">
      <c r="B10" s="56" t="inlineStr">
        <is>
          <t>Pack version</t>
        </is>
      </c>
      <c r="C10" s="51" t="inlineStr">
        <is>
          <t>v2.3 implementation</t>
        </is>
      </c>
      <c r="D10" s="54" t="inlineStr">
        <is>
          <t>Updated 25 Sep 2026: asset/key repair; learner/answer separation; canonical decision model.</t>
        </is>
      </c>
    </row>
    <row r="11" ht="15" customHeight="1" s="45">
      <c r="B11" s="51" t="inlineStr">
        <is>
          <t>Plain cells with formulas</t>
        </is>
      </c>
      <c r="C11" s="51" t="inlineStr">
        <is>
          <t>Calculated for you</t>
        </is>
      </c>
    </row>
    <row r="12" ht="15" customHeight="1" s="45">
      <c r="B12" s="57" t="inlineStr">
        <is>
          <t>Unified workflow</t>
        </is>
      </c>
      <c r="C12" s="54" t="inlineStr">
        <is>
          <t>DO → CHECK → CLASSIFY → ACT/HAND OFF → FOLLOW UP → CLOSE</t>
        </is>
      </c>
      <c r="D12" s="54" t="inlineStr">
        <is>
          <t>Classification: OK / FLAG / ASK / ESCALATE</t>
        </is>
      </c>
    </row>
    <row r="13" ht="15" customHeight="1" s="45">
      <c r="B13" s="52" t="inlineStr">
        <is>
          <t>Tab guide</t>
        </is>
      </c>
    </row>
    <row r="14" ht="15" customHeight="1" s="45">
      <c r="B14" s="48" t="inlineStr">
        <is>
          <t>Provider</t>
        </is>
      </c>
      <c r="C14" s="51" t="inlineStr">
        <is>
          <t>Wattlebird profile, fictional house rules, urgent/out-of-hours procedure</t>
        </is>
      </c>
    </row>
    <row r="15" ht="15" customHeight="1" s="45">
      <c r="B15" s="48" t="inlineStr">
        <is>
          <t>Participants</t>
        </is>
      </c>
      <c r="C15" s="51" t="inlineStr">
        <is>
          <t>12 fictional participants and plan context</t>
        </is>
      </c>
    </row>
    <row r="16" ht="15" customHeight="1" s="45">
      <c r="B16" s="48" t="inlineStr">
        <is>
          <t>Staff</t>
        </is>
      </c>
      <c r="C16" s="51" t="inlineStr">
        <is>
          <t>21 fictional staff records, availability and screening reminders</t>
        </is>
      </c>
    </row>
    <row r="17" ht="15" customHeight="1" s="45">
      <c r="B17" s="48" t="inlineStr">
        <is>
          <t>Roster</t>
        </is>
      </c>
      <c r="C17" s="51" t="inlineStr">
        <is>
          <t>Practice week and scheduling issues</t>
        </is>
      </c>
    </row>
    <row r="18" ht="15" customHeight="1" s="45">
      <c r="B18" s="48" t="inlineStr">
        <is>
          <t>Price_Table</t>
        </is>
      </c>
      <c r="C18" s="51" t="inlineStr">
        <is>
          <t>Invented prices/limits for practice only</t>
        </is>
      </c>
    </row>
    <row r="19" ht="15" customHeight="1" s="45">
      <c r="B19" s="48" t="inlineStr">
        <is>
          <t>Invoice_Batch</t>
        </is>
      </c>
      <c r="C19" s="51" t="inlineStr">
        <is>
          <t>20 invoice lines to check</t>
        </is>
      </c>
    </row>
    <row r="20" ht="15" customHeight="1" s="45">
      <c r="B20" s="48" t="inlineStr">
        <is>
          <t>M11_Service_Delivery</t>
        </is>
      </c>
      <c r="C20" s="51" t="inlineStr">
        <is>
          <t>Fictional prior-week delivery evidence for invoice checking</t>
        </is>
      </c>
    </row>
    <row r="21" ht="15" customHeight="1" s="45">
      <c r="B21" s="44" t="inlineStr">
        <is>
          <t>M11_Invoice_Check_Log</t>
        </is>
      </c>
      <c r="C21" s="44" t="inlineStr">
        <is>
          <t>Blank learner invoice-check template with route-to and service-delivery evidence</t>
        </is>
      </c>
    </row>
    <row r="22" ht="15" customHeight="1" s="45">
      <c r="B22" s="48" t="inlineStr">
        <is>
          <t>Inbox</t>
        </is>
      </c>
      <c r="C22" s="51" t="inlineStr">
        <is>
          <t>24 fictional emails</t>
        </is>
      </c>
    </row>
    <row r="23" ht="15" customHeight="1" s="45">
      <c r="B23" s="48" t="inlineStr">
        <is>
          <t>Task_Board</t>
        </is>
      </c>
      <c r="C23" s="51" t="inlineStr">
        <is>
          <t>Learner task tracking</t>
        </is>
      </c>
    </row>
    <row r="24" ht="15" customHeight="1" s="45">
      <c r="B24" s="48" t="inlineStr">
        <is>
          <t>Incident_Log</t>
        </is>
      </c>
      <c r="C24" s="51" t="inlineStr">
        <is>
          <t>Fictional incident records</t>
        </is>
      </c>
    </row>
    <row r="25" ht="15" customHeight="1" s="45">
      <c r="B25" s="54" t="inlineStr">
        <is>
          <t>Complaints_Log</t>
        </is>
      </c>
      <c r="C25" s="54" t="inlineStr">
        <is>
          <t>Fictional complaint records</t>
        </is>
      </c>
    </row>
    <row r="26" ht="15" customHeight="1" s="45">
      <c r="B26" s="52" t="inlineStr">
        <is>
          <t>Follow_Up_Log</t>
        </is>
      </c>
      <c r="C26" s="54" t="inlineStr">
        <is>
          <t>Learner follow-up and handover log; one example row</t>
        </is>
      </c>
    </row>
    <row r="27" ht="15" customHeight="1" s="45">
      <c r="B27" s="51" t="inlineStr">
        <is>
          <t>M1_Job_Post</t>
        </is>
      </c>
      <c r="C27" s="54" t="inlineStr">
        <is>
          <t>Fictional Wattlebird VA job post</t>
        </is>
      </c>
    </row>
    <row r="28" ht="15" customHeight="1" s="45">
      <c r="B28" s="51" t="inlineStr">
        <is>
          <t>M1_Profile_Template</t>
        </is>
      </c>
      <c r="C28" s="54" t="inlineStr">
        <is>
          <t>Learner VA profile template</t>
        </is>
      </c>
    </row>
    <row r="29" ht="15" customHeight="1" s="45">
      <c r="B29" s="51" t="inlineStr">
        <is>
          <t>M2_Weak_Drafts</t>
        </is>
      </c>
      <c r="C29" s="54" t="inlineStr">
        <is>
          <t>Fictional weak messages for rewriting</t>
        </is>
      </c>
    </row>
    <row r="30" ht="15" customHeight="1" s="45">
      <c r="B30" s="51" t="inlineStr">
        <is>
          <t>M2_Incomplete_Questions</t>
        </is>
      </c>
      <c r="C30" s="54" t="inlineStr">
        <is>
          <t>Fictional incomplete workplace questions</t>
        </is>
      </c>
    </row>
    <row r="31" ht="15" customHeight="1" s="45">
      <c r="B31" s="51" t="inlineStr">
        <is>
          <t>M3_Messy_Files</t>
        </is>
      </c>
      <c r="C31" s="54" t="inlineStr">
        <is>
          <t>Fictional file-naming practice set</t>
        </is>
      </c>
    </row>
    <row r="32" ht="15" customHeight="1" s="45">
      <c r="B32" s="54" t="inlineStr">
        <is>
          <t>M4_Format_Trap</t>
        </is>
      </c>
      <c r="C32" s="54" t="inlineStr">
        <is>
          <t>Date/AUD format practice</t>
        </is>
      </c>
    </row>
    <row r="33" ht="27.75" customHeight="1" s="45">
      <c r="B33" s="52" t="inlineStr">
        <is>
          <t>M4_Handover_Template</t>
        </is>
      </c>
      <c r="C33" s="54" t="inlineStr">
        <is>
          <t>Learner handover template</t>
        </is>
      </c>
    </row>
    <row r="34" ht="27.75" customHeight="1" s="45">
      <c r="B34" s="51" t="inlineStr">
        <is>
          <t>M5_Situations</t>
        </is>
      </c>
      <c r="C34" s="54" t="inlineStr">
        <is>
          <t>Organization/role matching practice</t>
        </is>
      </c>
    </row>
    <row r="35" ht="27.75" customHeight="1" s="45">
      <c r="B35" s="51" t="inlineStr">
        <is>
          <t>M5_Safe_Questions</t>
        </is>
      </c>
      <c r="C35" s="54" t="inlineStr">
        <is>
          <t>Funding/clinical/eligibility question practice</t>
        </is>
      </c>
    </row>
    <row r="36" ht="27.75" customHeight="1" s="45">
      <c r="B36" s="51" t="inlineStr">
        <is>
          <t>M6_Support_Requests</t>
        </is>
      </c>
      <c r="C36" s="54" t="inlineStr">
        <is>
          <t>Fictional plan-context requests</t>
        </is>
      </c>
    </row>
    <row r="37" ht="15" customHeight="1" s="45">
      <c r="B37" s="51" t="inlineStr">
        <is>
          <t>M8_Pricing_Check_Log</t>
        </is>
      </c>
      <c r="C37" s="54" t="inlineStr">
        <is>
          <t>Blank learner pricing/source log</t>
        </is>
      </c>
    </row>
    <row r="38" ht="15" customHeight="1" s="45">
      <c r="B38" s="54" t="inlineStr">
        <is>
          <t>M9_Extended_Practice</t>
        </is>
      </c>
      <c r="C38" s="54" t="inlineStr">
        <is>
          <t>Leave, unfilled shift and timezone cases</t>
        </is>
      </c>
    </row>
    <row r="39" ht="15" customHeight="1" s="45">
      <c r="B39" s="54" t="inlineStr">
        <is>
          <t>M12_Security_Practice</t>
        </is>
      </c>
      <c r="C39" s="54" t="inlineStr">
        <is>
          <t>Provider-policy security scenarios</t>
        </is>
      </c>
    </row>
    <row r="40" ht="15" customHeight="1" s="45">
      <c r="B40" s="54" t="inlineStr">
        <is>
          <t>M14_SOP_Task</t>
        </is>
      </c>
      <c r="C40" s="54" t="inlineStr">
        <is>
          <t>SOP writing template</t>
        </is>
      </c>
    </row>
    <row r="41" ht="15" customHeight="1" s="45">
      <c r="B41" s="54" t="inlineStr">
        <is>
          <t>M17_Trial_Pack</t>
        </is>
      </c>
      <c r="C41" s="54" t="inlineStr">
        <is>
          <t>Unseen fictional trial task</t>
        </is>
      </c>
    </row>
    <row r="42" ht="15" customHeight="1" s="45">
      <c r="B42" s="54" t="inlineStr">
        <is>
          <t>M17_30_Day_Plan</t>
        </is>
      </c>
      <c r="C42" s="54" t="inlineStr">
        <is>
          <t>Learner first-30-days template</t>
        </is>
      </c>
    </row>
    <row r="43" ht="15" customHeight="1" s="45">
      <c r="B43" s="54" t="inlineStr">
        <is>
          <t>M16_Outreach_Template</t>
        </is>
      </c>
      <c r="C43" s="54" t="inlineStr">
        <is>
          <t>Honest fictional outreach template</t>
        </is>
      </c>
    </row>
    <row r="44" ht="15" customHeight="1" s="45">
      <c r="B44" s="54" t="inlineStr">
        <is>
          <t>Calibration_Exemplars</t>
        </is>
      </c>
      <c r="C44" s="54" t="inlineStr">
        <is>
          <t>Certification 0/1/2 calibration examples</t>
        </is>
      </c>
    </row>
    <row r="45" ht="15" customHeight="1" s="45">
      <c r="B45" s="54" t="inlineStr">
        <is>
          <t>Self_Audit_Guide</t>
        </is>
      </c>
      <c r="C45" s="54" t="inlineStr">
        <is>
          <t>Learner certification self-audit</t>
        </is>
      </c>
    </row>
    <row r="46" ht="15" customHeight="1" s="45">
      <c r="B46" s="54" t="inlineStr">
        <is>
          <t>Asset_Change_Log</t>
        </is>
      </c>
      <c r="C46" s="54" t="inlineStr">
        <is>
          <t>v2.3 asset freeze/change record</t>
        </is>
      </c>
    </row>
    <row r="49" ht="41.25" customHeight="1" s="45">
      <c r="B49" s="54" t="inlineStr">
        <is>
          <t>v2.3 learner/answer separation rule</t>
        </is>
      </c>
      <c r="C49" s="54" t="inlineStr">
        <is>
          <t>Learner sheets contain task inputs only. Answer logic is held in the canonical Answer Key workbook.</t>
        </is>
      </c>
    </row>
    <row r="50" ht="41.25" customHeight="1" s="45">
      <c r="B50" s="54" t="inlineStr">
        <is>
          <t>Urgent work rule</t>
        </is>
      </c>
      <c r="C50" s="54" t="inlineStr">
        <is>
          <t>For urgent Wattlebird matters: use the fictional urgent channel first; source checks must not delay the handoff.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B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</cols>
  <sheetData>
    <row r="1" ht="17.25" customHeight="1" s="45">
      <c r="A1" s="58" t="inlineStr">
        <is>
          <t>About Wattlebird Support Services (fictional)</t>
        </is>
      </c>
    </row>
    <row r="2" ht="15" customHeight="1" s="45">
      <c r="A2" s="59" t="inlineStr">
        <is>
          <t>An invented, mid-sized NDIS provider used for practice. Not a real business.</t>
        </is>
      </c>
    </row>
    <row r="3" ht="33.75" customHeight="1" s="45">
      <c r="A3" s="60" t="inlineStr">
        <is>
          <t>Topic</t>
        </is>
      </c>
      <c r="B3" s="60" t="inlineStr">
        <is>
          <t>Detail</t>
        </is>
      </c>
    </row>
    <row r="4" ht="15" customHeight="1" s="45">
      <c r="A4" s="48" t="inlineStr">
        <is>
          <t>Locations</t>
        </is>
      </c>
      <c r="B4" s="51" t="inlineStr">
        <is>
          <t>Melbourne head office and a small Gold Coast site</t>
        </is>
      </c>
    </row>
    <row r="5" ht="15" customHeight="1" s="45">
      <c r="A5" s="48" t="inlineStr">
        <is>
          <t>Time zones this week</t>
        </is>
      </c>
      <c r="B5" s="51" t="inlineStr">
        <is>
          <t>Melbourne: AEDT (daylight saving). Gold Coast: AEST (no daylight saving).</t>
        </is>
      </c>
    </row>
    <row r="6" ht="15" customHeight="1" s="45">
      <c r="A6" s="48" t="inlineStr">
        <is>
          <t>Office hours</t>
        </is>
      </c>
      <c r="B6" s="51" t="inlineStr">
        <is>
          <t>Melbourne Mon to Fri 8:30 am to 5:00 pm (Melbourne time). Gold Coast Mon to Thu 9:00 am to 4:00 pm (Gold Coast time).</t>
        </is>
      </c>
    </row>
    <row r="7" ht="23.25" customHeight="1" s="45">
      <c r="A7" s="48" t="inlineStr">
        <is>
          <t>Team (about 25)</t>
        </is>
      </c>
      <c r="B7" s="51" t="inlineStr">
        <is>
          <t>Director, operations manager, 2 support coordinators, 1 plan manager, 1 admin officer, about 12 support workers, contracted allied health. The Staff tab lists the people used in this pack.</t>
        </is>
      </c>
    </row>
    <row r="8" ht="15" customHeight="1" s="45">
      <c r="A8" s="48" t="inlineStr">
        <is>
          <t>Participants</t>
        </is>
      </c>
      <c r="B8" s="51" t="inlineStr">
        <is>
          <t>About 40 in total. 12 are used in this pack.</t>
        </is>
      </c>
    </row>
    <row r="9" ht="15" customHeight="1" s="45">
      <c r="A9" s="48" t="inlineStr">
        <is>
          <t>Services</t>
        </is>
      </c>
      <c r="B9" s="51" t="inlineStr">
        <is>
          <t>Support coordination, plan management, daily living and community participation supports, allied health.</t>
        </is>
      </c>
    </row>
    <row r="10" ht="15" customHeight="1" s="45">
      <c r="A10" s="48" t="inlineStr">
        <is>
          <t>Your role</t>
        </is>
      </c>
      <c r="B10" s="51" t="inlineStr">
        <is>
          <t>New part-time virtual assistant reporting to the operations manager (Rhonda Blake). Tasks arrive by email.</t>
        </is>
      </c>
    </row>
    <row r="11" ht="23.25" customHeight="1" s="45">
      <c r="A11" s="48" t="inlineStr">
        <is>
          <t>Systems</t>
        </is>
      </c>
      <c r="B11" s="51" t="inlineStr">
        <is>
          <t>Google Workspace, this Google Sheets pack, a free task board, and free chat. Paid NDIS systems are only shown as mock screens in the course.</t>
        </is>
      </c>
    </row>
    <row r="12" ht="23.25" customHeight="1" s="45">
      <c r="A12" s="48" t="inlineStr">
        <is>
          <t>Fictional house rule: cancellations</t>
        </is>
      </c>
      <c r="B12" s="51" t="inlineStr">
        <is>
          <t>Cancellations with less than 2 business days' notice are recorded. The operations manager decides whether any charge applies.</t>
        </is>
      </c>
    </row>
    <row r="13" ht="23.25" customHeight="1" s="45">
      <c r="A13" s="48" t="inlineStr">
        <is>
          <t>Fictional house rule: escalation</t>
        </is>
      </c>
      <c r="B13" s="51" t="inlineStr">
        <is>
          <t>Anything involving safety, a complaint, a privacy slip, or an urgent incident goes straight to the operations manager, right away. Don't wait for the next day.</t>
        </is>
      </c>
    </row>
    <row r="14" ht="23.25" customHeight="1" s="45">
      <c r="A14" s="48" t="inlineStr">
        <is>
          <t>Fictional house rule: information</t>
        </is>
      </c>
      <c r="B14" s="51" t="inlineStr">
        <is>
          <t>Participant information is only shared with the participant or someone the operations manager confirms has permission.</t>
        </is>
      </c>
    </row>
    <row r="16" ht="41.25" customHeight="1" s="45">
      <c r="A16" s="54" t="inlineStr">
        <is>
          <t>VA working hours (fictional)</t>
        </is>
      </c>
      <c r="B16" s="54" t="inlineStr">
        <is>
          <t>Mon–Fri 8:30 am–12:30 pm Melbourne time. The learner should convert this window to PHT for planning.</t>
        </is>
      </c>
    </row>
    <row r="17" ht="41.25" customHeight="1" s="45">
      <c r="A17" s="54" t="inlineStr">
        <is>
          <t>Urgent channel (fictional)</t>
        </is>
      </c>
      <c r="B17" s="54" t="inlineStr">
        <is>
          <t>Wattlebird Urgent Chat — internal provider channel used for safety, privacy slips, complaints requiring urgent attention, and urgent incidents.</t>
        </is>
      </c>
    </row>
    <row r="18" ht="15" customHeight="1" s="45">
      <c r="A18" s="54" t="inlineStr">
        <is>
          <t>Primary urgent contact (fictional)</t>
        </is>
      </c>
      <c r="B18" s="54" t="inlineStr">
        <is>
          <t>Rhonda Blake — Operations Manager.</t>
        </is>
      </c>
    </row>
    <row r="19" ht="41.25" customHeight="1" s="45">
      <c r="A19" s="54" t="inlineStr">
        <is>
          <t>Backup urgent contact (fictional)</t>
        </is>
      </c>
      <c r="B19" s="54" t="inlineStr">
        <is>
          <t>Callum Reid — Director. Use the backup when the primary contact does not acknowledge within 10 minutes.</t>
        </is>
      </c>
    </row>
    <row r="20" ht="41.25" customHeight="1" s="45">
      <c r="A20" s="54" t="inlineStr">
        <is>
          <t>Re-escalation interval (fictional)</t>
        </is>
      </c>
      <c r="B20" s="54" t="inlineStr">
        <is>
          <t>If an urgent handoff is not acknowledged within 10 minutes, contact the backup and record the time and channel used.</t>
        </is>
      </c>
    </row>
    <row r="21" ht="54.75" customHeight="1" s="45">
      <c r="A21" s="54" t="inlineStr">
        <is>
          <t>After-hours principle (fictional)</t>
        </is>
      </c>
      <c r="B21" s="54" t="inlineStr">
        <is>
          <t>The urgent procedure applies when an urgent matter is discovered outside normal office hours. The VA does not give clinical, legal, funding, or reportability advice.</t>
        </is>
      </c>
    </row>
    <row r="22" ht="27.75" customHeight="1" s="45">
      <c r="A22" s="54" t="inlineStr">
        <is>
          <t>Privacy owner (fictional)</t>
        </is>
      </c>
      <c r="B22" s="54" t="inlineStr">
        <is>
          <t>Rhonda Blake is the fictional privacy/operations owner for this practice pack.</t>
        </is>
      </c>
    </row>
    <row r="23" ht="15" customHeight="1" s="45">
      <c r="A23" s="44" t="inlineStr">
        <is>
          <t>Fictional house rule: invoice routing</t>
        </is>
      </c>
      <c r="B23" s="44" t="inlineStr">
        <is>
          <t>NDIA-managed → Olivia Grant (Plan Manager / Finance workflow); Plan-managed → Olivia Grant (Plan Manager; external plan-manager communication through Olivia); Self-managed → Jamal Ortiz (Admin intake), then authorized owner for any agreement/price decision; Unknown/TBC → Rhonda Blake (Operations) until management type is confirmed. These are fictional Wattlebird rules only.</t>
        </is>
      </c>
    </row>
    <row r="24" ht="15" customHeight="1" s="45">
      <c r="A24" s="44" t="inlineStr">
        <is>
          <t>Routine handover channel (fictional)</t>
        </is>
      </c>
      <c r="B24" s="44" t="inlineStr">
        <is>
          <t>Email to Rhonda Blake / the next responsible contact. Use Wattlebird Urgent Chat for urgent handoffs.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8" customWidth="1" style="44" min="2" max="2"/>
    <col width="12" customWidth="1" style="44" min="3" max="3"/>
    <col width="17" customWidth="1" style="44" min="4" max="4"/>
    <col width="42" customWidth="1" style="44" min="5" max="5"/>
    <col width="25" customWidth="1" style="44" min="6" max="6"/>
    <col width="21" customWidth="1" style="44" min="7" max="9"/>
  </cols>
  <sheetData>
    <row r="1" ht="17.25" customHeight="1" s="45">
      <c r="A1" s="58" t="inlineStr">
        <is>
          <t>Participants (fictional)</t>
        </is>
      </c>
    </row>
    <row r="2" ht="15" customHeight="1" s="45">
      <c r="A2" s="59" t="inlineStr">
        <is>
          <t>12 invented participants. Remaining funds are invented and approximate (all budgets combined).</t>
        </is>
      </c>
    </row>
    <row r="3" ht="33.75" customHeight="1" s="45">
      <c r="A3" s="60" t="inlineStr">
        <is>
          <t>ID</t>
        </is>
      </c>
      <c r="B3" s="60" t="inlineStr">
        <is>
          <t>Name</t>
        </is>
      </c>
      <c r="C3" s="60" t="inlineStr">
        <is>
          <t>Site</t>
        </is>
      </c>
      <c r="D3" s="60" t="inlineStr">
        <is>
          <t>Plan management</t>
        </is>
      </c>
      <c r="E3" s="60" t="inlineStr">
        <is>
          <t>Main supports</t>
        </is>
      </c>
      <c r="F3" s="60" t="inlineStr">
        <is>
          <t>Funded budgets</t>
        </is>
      </c>
      <c r="G3" s="60" t="inlineStr">
        <is>
          <t>Plan review date</t>
        </is>
      </c>
      <c r="H3" s="60" t="inlineStr">
        <is>
          <t>Service agreement</t>
        </is>
      </c>
      <c r="I3" s="60" t="inlineStr">
        <is>
          <t>Approx. remaining funds (AUD)</t>
        </is>
      </c>
    </row>
    <row r="4" ht="15" customHeight="1" s="45">
      <c r="A4" s="51" t="inlineStr">
        <is>
          <t>P01</t>
        </is>
      </c>
      <c r="B4" s="51" t="inlineStr">
        <is>
          <t>Marisol Reyes</t>
        </is>
      </c>
      <c r="C4" s="51" t="inlineStr">
        <is>
          <t>Melbourne</t>
        </is>
      </c>
      <c r="D4" s="51" t="inlineStr">
        <is>
          <t>Plan-managed</t>
        </is>
      </c>
      <c r="E4" s="51" t="inlineStr">
        <is>
          <t>Community access; physiotherapy</t>
        </is>
      </c>
      <c r="F4" s="51" t="inlineStr">
        <is>
          <t>Core; Capacity Building</t>
        </is>
      </c>
      <c r="G4" s="49" t="n">
        <v>46456</v>
      </c>
      <c r="H4" s="51" t="inlineStr">
        <is>
          <t>Signed</t>
        </is>
      </c>
      <c r="I4" s="61" t="n">
        <v>6200</v>
      </c>
    </row>
    <row r="5" ht="15" customHeight="1" s="45">
      <c r="A5" s="51" t="inlineStr">
        <is>
          <t>P02</t>
        </is>
      </c>
      <c r="B5" s="51" t="inlineStr">
        <is>
          <t>Daniel Whitfield</t>
        </is>
      </c>
      <c r="C5" s="51" t="inlineStr">
        <is>
          <t>Melbourne</t>
        </is>
      </c>
      <c r="D5" s="51" t="inlineStr">
        <is>
          <t>Self-managed</t>
        </is>
      </c>
      <c r="E5" s="51" t="inlineStr">
        <is>
          <t>Daily living support</t>
        </is>
      </c>
      <c r="F5" s="51" t="inlineStr">
        <is>
          <t>Core</t>
        </is>
      </c>
      <c r="G5" s="49" t="n">
        <v>46407</v>
      </c>
      <c r="H5" s="51" t="inlineStr">
        <is>
          <t>Signed</t>
        </is>
      </c>
      <c r="I5" s="61" t="n">
        <v>3100</v>
      </c>
    </row>
    <row r="6" ht="15" customHeight="1" s="45">
      <c r="A6" s="51" t="inlineStr">
        <is>
          <t>P03</t>
        </is>
      </c>
      <c r="B6" s="51" t="inlineStr">
        <is>
          <t>Aisha Rahman</t>
        </is>
      </c>
      <c r="C6" s="51" t="inlineStr">
        <is>
          <t>Melbourne</t>
        </is>
      </c>
      <c r="D6" s="51" t="inlineStr">
        <is>
          <t>NDIA-managed</t>
        </is>
      </c>
      <c r="E6" s="51" t="inlineStr">
        <is>
          <t>Support coordination</t>
        </is>
      </c>
      <c r="F6" s="51" t="inlineStr">
        <is>
          <t>Capacity Building; Core</t>
        </is>
      </c>
      <c r="G6" s="49" t="n">
        <v>46370</v>
      </c>
      <c r="H6" s="51" t="inlineStr">
        <is>
          <t>Signed</t>
        </is>
      </c>
      <c r="I6" s="61" t="n">
        <v>2800</v>
      </c>
    </row>
    <row r="7" ht="15" customHeight="1" s="45">
      <c r="A7" s="51" t="inlineStr">
        <is>
          <t>P04</t>
        </is>
      </c>
      <c r="B7" s="51" t="inlineStr">
        <is>
          <t>Tom Nguyen</t>
        </is>
      </c>
      <c r="C7" s="51" t="inlineStr">
        <is>
          <t>Melbourne</t>
        </is>
      </c>
      <c r="D7" s="51" t="inlineStr">
        <is>
          <t>Plan-managed</t>
        </is>
      </c>
      <c r="E7" s="51" t="inlineStr">
        <is>
          <t>Daily living; occupational therapy</t>
        </is>
      </c>
      <c r="F7" s="51" t="inlineStr">
        <is>
          <t>Core; Capacity Building</t>
        </is>
      </c>
      <c r="G7" s="49" t="n">
        <v>46512</v>
      </c>
      <c r="H7" s="51" t="inlineStr">
        <is>
          <t>Signed</t>
        </is>
      </c>
      <c r="I7" s="61" t="n">
        <v>7400</v>
      </c>
    </row>
    <row r="8" ht="15" customHeight="1" s="45">
      <c r="A8" s="51" t="inlineStr">
        <is>
          <t>P05</t>
        </is>
      </c>
      <c r="B8" s="51" t="inlineStr">
        <is>
          <t>Priya Nair</t>
        </is>
      </c>
      <c r="C8" s="51" t="inlineStr">
        <is>
          <t>Melbourne</t>
        </is>
      </c>
      <c r="D8" s="51" t="inlineStr">
        <is>
          <t>Self-managed</t>
        </is>
      </c>
      <c r="E8" s="51" t="inlineStr">
        <is>
          <t>Community participation</t>
        </is>
      </c>
      <c r="F8" s="51" t="inlineStr">
        <is>
          <t>Core</t>
        </is>
      </c>
      <c r="G8" s="49" t="n">
        <v>46499</v>
      </c>
      <c r="H8" s="51" t="inlineStr">
        <is>
          <t>Signed</t>
        </is>
      </c>
      <c r="I8" s="61" t="n">
        <v>5100</v>
      </c>
    </row>
    <row r="9" ht="15" customHeight="1" s="45">
      <c r="A9" s="51" t="inlineStr">
        <is>
          <t>P06</t>
        </is>
      </c>
      <c r="B9" s="51" t="inlineStr">
        <is>
          <t>Jack O'Connor</t>
        </is>
      </c>
      <c r="C9" s="51" t="inlineStr">
        <is>
          <t>Melbourne</t>
        </is>
      </c>
      <c r="D9" s="51" t="inlineStr">
        <is>
          <t>NDIA-managed</t>
        </is>
      </c>
      <c r="E9" s="51" t="inlineStr">
        <is>
          <t>Daily living</t>
        </is>
      </c>
      <c r="F9" s="51" t="inlineStr">
        <is>
          <t>Core</t>
        </is>
      </c>
      <c r="G9" s="49" t="n">
        <v>46568</v>
      </c>
      <c r="H9" s="51" t="inlineStr">
        <is>
          <t>Signed</t>
        </is>
      </c>
      <c r="I9" s="61" t="n">
        <v>9800</v>
      </c>
    </row>
    <row r="10" ht="15" customHeight="1" s="45">
      <c r="A10" s="51" t="inlineStr">
        <is>
          <t>P07</t>
        </is>
      </c>
      <c r="B10" s="51" t="inlineStr">
        <is>
          <t>Lucia Fernandez</t>
        </is>
      </c>
      <c r="C10" s="51" t="inlineStr">
        <is>
          <t>Melbourne</t>
        </is>
      </c>
      <c r="D10" s="51" t="inlineStr">
        <is>
          <t>Plan-managed</t>
        </is>
      </c>
      <c r="E10" s="51" t="inlineStr">
        <is>
          <t>Allied health (psychology)</t>
        </is>
      </c>
      <c r="F10" s="51" t="inlineStr">
        <is>
          <t>Capacity Building</t>
        </is>
      </c>
      <c r="G10" s="49" t="n">
        <v>46419</v>
      </c>
      <c r="H10" s="51" t="inlineStr">
        <is>
          <t>Due for renewal</t>
        </is>
      </c>
      <c r="I10" s="61" t="n">
        <v>2300</v>
      </c>
    </row>
    <row r="11" ht="15" customHeight="1" s="45">
      <c r="A11" s="51" t="inlineStr">
        <is>
          <t>P08</t>
        </is>
      </c>
      <c r="B11" s="51" t="inlineStr">
        <is>
          <t>Ben Taylor</t>
        </is>
      </c>
      <c r="C11" s="51" t="inlineStr">
        <is>
          <t>Gold Coast</t>
        </is>
      </c>
      <c r="D11" s="51" t="inlineStr">
        <is>
          <t>Plan-managed</t>
        </is>
      </c>
      <c r="E11" s="51" t="inlineStr">
        <is>
          <t>Community access</t>
        </is>
      </c>
      <c r="F11" s="51" t="inlineStr">
        <is>
          <t>Core</t>
        </is>
      </c>
      <c r="G11" s="49" t="n">
        <v>46464</v>
      </c>
      <c r="H11" s="51" t="inlineStr">
        <is>
          <t>Signed</t>
        </is>
      </c>
      <c r="I11" s="61" t="n">
        <v>4600</v>
      </c>
    </row>
    <row r="12" ht="15" customHeight="1" s="45">
      <c r="A12" s="51" t="inlineStr">
        <is>
          <t>P09</t>
        </is>
      </c>
      <c r="B12" s="51" t="inlineStr">
        <is>
          <t>Grace Mitchell</t>
        </is>
      </c>
      <c r="C12" s="51" t="inlineStr">
        <is>
          <t>Melbourne</t>
        </is>
      </c>
      <c r="D12" s="51" t="inlineStr">
        <is>
          <t>To be confirmed</t>
        </is>
      </c>
      <c r="E12" s="51" t="inlineStr">
        <is>
          <t>To be confirmed</t>
        </is>
      </c>
      <c r="F12" s="51" t="inlineStr">
        <is>
          <t>To be confirmed</t>
        </is>
      </c>
      <c r="G12" s="62" t="n"/>
      <c r="H12" s="51" t="inlineStr">
        <is>
          <t>Not started</t>
        </is>
      </c>
      <c r="I12" s="63" t="n"/>
    </row>
    <row r="13" ht="15" customHeight="1" s="45">
      <c r="A13" s="51" t="inlineStr">
        <is>
          <t>P10</t>
        </is>
      </c>
      <c r="B13" s="51" t="inlineStr">
        <is>
          <t>Samuel Osei</t>
        </is>
      </c>
      <c r="C13" s="51" t="inlineStr">
        <is>
          <t>Melbourne</t>
        </is>
      </c>
      <c r="D13" s="51" t="inlineStr">
        <is>
          <t>NDIA-managed</t>
        </is>
      </c>
      <c r="E13" s="51" t="inlineStr">
        <is>
          <t>Support coordination</t>
        </is>
      </c>
      <c r="F13" s="51" t="inlineStr">
        <is>
          <t>Capacity Building</t>
        </is>
      </c>
      <c r="G13" s="49" t="n">
        <v>46395</v>
      </c>
      <c r="H13" s="51" t="inlineStr">
        <is>
          <t>Signed</t>
        </is>
      </c>
      <c r="I13" s="61" t="n">
        <v>1900</v>
      </c>
    </row>
    <row r="14" ht="15" customHeight="1" s="45">
      <c r="A14" s="51" t="inlineStr">
        <is>
          <t>P11</t>
        </is>
      </c>
      <c r="B14" s="51" t="inlineStr">
        <is>
          <t>Hannah Kowalski</t>
        </is>
      </c>
      <c r="C14" s="51" t="inlineStr">
        <is>
          <t>Melbourne</t>
        </is>
      </c>
      <c r="D14" s="51" t="inlineStr">
        <is>
          <t>Self-managed</t>
        </is>
      </c>
      <c r="E14" s="51" t="inlineStr">
        <is>
          <t>Daily living</t>
        </is>
      </c>
      <c r="F14" s="51" t="inlineStr">
        <is>
          <t>Core</t>
        </is>
      </c>
      <c r="G14" s="49" t="n">
        <v>46534</v>
      </c>
      <c r="H14" s="51" t="inlineStr">
        <is>
          <t>Signed</t>
        </is>
      </c>
      <c r="I14" s="61" t="n">
        <v>8200</v>
      </c>
    </row>
    <row r="15" ht="15" customHeight="1" s="45">
      <c r="A15" s="51" t="inlineStr">
        <is>
          <t>P12</t>
        </is>
      </c>
      <c r="B15" s="51" t="inlineStr">
        <is>
          <t>Ravi Patel</t>
        </is>
      </c>
      <c r="C15" s="51" t="inlineStr">
        <is>
          <t>Melbourne</t>
        </is>
      </c>
      <c r="D15" s="51" t="inlineStr">
        <is>
          <t>Plan-managed</t>
        </is>
      </c>
      <c r="E15" s="51" t="inlineStr">
        <is>
          <t>Allied health (physiotherapy); daily living</t>
        </is>
      </c>
      <c r="F15" s="51" t="inlineStr">
        <is>
          <t>Core; Capacity Building</t>
        </is>
      </c>
      <c r="G15" s="49" t="n">
        <v>46444</v>
      </c>
      <c r="H15" s="51" t="inlineStr">
        <is>
          <t>Signed</t>
        </is>
      </c>
      <c r="I15" s="61" t="n">
        <v>420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8" customWidth="1" style="44" min="2" max="2"/>
    <col width="37" customWidth="1" style="44" min="3" max="3"/>
    <col width="16" customWidth="1" style="44" min="4" max="4"/>
    <col width="12" customWidth="1" style="44" min="5" max="6"/>
    <col width="20" customWidth="1" style="44" min="7" max="7"/>
    <col width="21" customWidth="1" style="44" min="8" max="10"/>
    <col width="42" customWidth="1" style="44" min="11" max="13"/>
  </cols>
  <sheetData>
    <row r="1" ht="17.25" customHeight="1" s="45">
      <c r="A1" s="58" t="inlineStr">
        <is>
          <t>Staff (fictional)</t>
        </is>
      </c>
    </row>
    <row r="2" ht="15" customHeight="1" s="45">
      <c r="A2" s="59" t="inlineStr">
        <is>
          <t>Screening reminder and rostered hours are calculated. Reminder window is set on Start_Here. Only authorised staff manage the real screening database.</t>
        </is>
      </c>
    </row>
    <row r="3" ht="33.75" customHeight="1" s="45">
      <c r="A3" s="60" t="inlineStr">
        <is>
          <t>ID</t>
        </is>
      </c>
      <c r="B3" s="60" t="inlineStr">
        <is>
          <t>Name</t>
        </is>
      </c>
      <c r="C3" s="60" t="inlineStr">
        <is>
          <t>Role</t>
        </is>
      </c>
      <c r="D3" s="60" t="inlineStr">
        <is>
          <t>Role type</t>
        </is>
      </c>
      <c r="E3" s="60" t="inlineStr">
        <is>
          <t>Site</t>
        </is>
      </c>
      <c r="F3" s="60" t="inlineStr">
        <is>
          <t>Employment</t>
        </is>
      </c>
      <c r="G3" s="60" t="inlineStr">
        <is>
          <t>Usual availability</t>
        </is>
      </c>
      <c r="H3" s="60" t="inlineStr">
        <is>
          <t>Unavailable from</t>
        </is>
      </c>
      <c r="I3" s="60" t="inlineStr">
        <is>
          <t>Unavailable to</t>
        </is>
      </c>
      <c r="J3" s="60" t="inlineStr">
        <is>
          <t>Screening check expiry</t>
        </is>
      </c>
      <c r="K3" s="60" t="inlineStr">
        <is>
          <t>Screening reminder</t>
        </is>
      </c>
      <c r="L3" s="60" t="inlineStr">
        <is>
          <t>Rostered hours this week</t>
        </is>
      </c>
      <c r="M3" s="60" t="inlineStr">
        <is>
          <t>Notes</t>
        </is>
      </c>
    </row>
    <row r="4" ht="15" customHeight="1" s="45">
      <c r="A4" s="51" t="inlineStr">
        <is>
          <t>S01</t>
        </is>
      </c>
      <c r="B4" s="51" t="inlineStr">
        <is>
          <t>Callum Reid</t>
        </is>
      </c>
      <c r="C4" s="51" t="inlineStr">
        <is>
          <t>Director</t>
        </is>
      </c>
      <c r="D4" s="51" t="inlineStr">
        <is>
          <t>Non-direct</t>
        </is>
      </c>
      <c r="E4" s="51" t="inlineStr">
        <is>
          <t>Melbourne</t>
        </is>
      </c>
      <c r="F4" s="51" t="inlineStr">
        <is>
          <t>Full-time</t>
        </is>
      </c>
      <c r="G4" s="51" t="inlineStr">
        <is>
          <t>Mon-Fri</t>
        </is>
      </c>
      <c r="H4" s="62" t="n"/>
      <c r="I4" s="62" t="n"/>
      <c r="J4" s="62" t="n"/>
      <c r="K4" s="51">
        <f>IF(J4="","",IF(J4&lt;Start_Here!$C$4,"EXPIRED",IF(J4-Start_Here!$C$4&lt;=Start_Here!$C$5,"Expires within reminder window","OK")))</f>
        <v/>
      </c>
      <c r="L4" s="64">
        <f>SUMIFS(Roster!$F$4:$F$60,Roster!$J$4:$J$60,A4,Roster!$M$4:$M$60,"&lt;&gt;Cancelled")</f>
        <v/>
      </c>
      <c r="M4" s="65" t="n"/>
    </row>
    <row r="5" ht="15" customHeight="1" s="45">
      <c r="A5" s="51" t="inlineStr">
        <is>
          <t>S02</t>
        </is>
      </c>
      <c r="B5" s="51" t="inlineStr">
        <is>
          <t>Rhonda Blake</t>
        </is>
      </c>
      <c r="C5" s="51" t="inlineStr">
        <is>
          <t>Operations manager</t>
        </is>
      </c>
      <c r="D5" s="51" t="inlineStr">
        <is>
          <t>Non-direct</t>
        </is>
      </c>
      <c r="E5" s="51" t="inlineStr">
        <is>
          <t>Melbourne</t>
        </is>
      </c>
      <c r="F5" s="51" t="inlineStr">
        <is>
          <t>Full-time</t>
        </is>
      </c>
      <c r="G5" s="51" t="inlineStr">
        <is>
          <t>Mon-Fri</t>
        </is>
      </c>
      <c r="H5" s="62" t="n"/>
      <c r="I5" s="62" t="n"/>
      <c r="J5" s="62" t="n"/>
      <c r="K5" s="51">
        <f>IF(J5="","",IF(J5&lt;Start_Here!$C$4,"EXPIRED",IF(J5-Start_Here!$C$4&lt;=Start_Here!$C$5,"Expires within reminder window","OK")))</f>
        <v/>
      </c>
      <c r="L5" s="64">
        <f>SUMIFS(Roster!$F$4:$F$60,Roster!$J$4:$J$60,A5,Roster!$M$4:$M$60,"&lt;&gt;Cancelled")</f>
        <v/>
      </c>
      <c r="M5" s="51" t="inlineStr">
        <is>
          <t>Learner's manager</t>
        </is>
      </c>
    </row>
    <row r="6" ht="15" customHeight="1" s="45">
      <c r="A6" s="51" t="inlineStr">
        <is>
          <t>S03</t>
        </is>
      </c>
      <c r="B6" s="51" t="inlineStr">
        <is>
          <t>Tessa Nguyen</t>
        </is>
      </c>
      <c r="C6" s="51" t="inlineStr">
        <is>
          <t>Support coordinator</t>
        </is>
      </c>
      <c r="D6" s="51" t="inlineStr">
        <is>
          <t>Non-direct</t>
        </is>
      </c>
      <c r="E6" s="51" t="inlineStr">
        <is>
          <t>Melbourne</t>
        </is>
      </c>
      <c r="F6" s="51" t="inlineStr">
        <is>
          <t>Full-time</t>
        </is>
      </c>
      <c r="G6" s="51" t="inlineStr">
        <is>
          <t>Mon-Fri</t>
        </is>
      </c>
      <c r="H6" s="62" t="n"/>
      <c r="I6" s="62" t="n"/>
      <c r="J6" s="62" t="n"/>
      <c r="K6" s="51">
        <f>IF(J6="","",IF(J6&lt;Start_Here!$C$4,"EXPIRED",IF(J6-Start_Here!$C$4&lt;=Start_Here!$C$5,"Expires within reminder window","OK")))</f>
        <v/>
      </c>
      <c r="L6" s="64">
        <f>SUMIFS(Roster!$F$4:$F$60,Roster!$J$4:$J$60,A6,Roster!$M$4:$M$60,"&lt;&gt;Cancelled")</f>
        <v/>
      </c>
      <c r="M6" s="65" t="n"/>
    </row>
    <row r="7" ht="15" customHeight="1" s="45">
      <c r="A7" s="51" t="inlineStr">
        <is>
          <t>S04</t>
        </is>
      </c>
      <c r="B7" s="51" t="inlineStr">
        <is>
          <t>Marcus Feld</t>
        </is>
      </c>
      <c r="C7" s="51" t="inlineStr">
        <is>
          <t>Support coordinator</t>
        </is>
      </c>
      <c r="D7" s="51" t="inlineStr">
        <is>
          <t>Non-direct</t>
        </is>
      </c>
      <c r="E7" s="51" t="inlineStr">
        <is>
          <t>Gold Coast</t>
        </is>
      </c>
      <c r="F7" s="51" t="inlineStr">
        <is>
          <t>Part-time</t>
        </is>
      </c>
      <c r="G7" s="51" t="inlineStr">
        <is>
          <t>Mon-Thu</t>
        </is>
      </c>
      <c r="H7" s="62" t="n"/>
      <c r="I7" s="62" t="n"/>
      <c r="J7" s="62" t="n"/>
      <c r="K7" s="51">
        <f>IF(J7="","",IF(J7&lt;Start_Here!$C$4,"EXPIRED",IF(J7-Start_Here!$C$4&lt;=Start_Here!$C$5,"Expires within reminder window","OK")))</f>
        <v/>
      </c>
      <c r="L7" s="64">
        <f>SUMIFS(Roster!$F$4:$F$60,Roster!$J$4:$J$60,A7,Roster!$M$4:$M$60,"&lt;&gt;Cancelled")</f>
        <v/>
      </c>
      <c r="M7" s="65" t="n"/>
    </row>
    <row r="8" ht="15" customHeight="1" s="45">
      <c r="A8" s="51" t="inlineStr">
        <is>
          <t>S05</t>
        </is>
      </c>
      <c r="B8" s="51" t="inlineStr">
        <is>
          <t>Olivia Grant</t>
        </is>
      </c>
      <c r="C8" s="51" t="inlineStr">
        <is>
          <t>Plan manager</t>
        </is>
      </c>
      <c r="D8" s="51" t="inlineStr">
        <is>
          <t>Non-direct</t>
        </is>
      </c>
      <c r="E8" s="51" t="inlineStr">
        <is>
          <t>Melbourne</t>
        </is>
      </c>
      <c r="F8" s="51" t="inlineStr">
        <is>
          <t>Full-time</t>
        </is>
      </c>
      <c r="G8" s="51" t="inlineStr">
        <is>
          <t>Mon-Fri</t>
        </is>
      </c>
      <c r="H8" s="62" t="n"/>
      <c r="I8" s="62" t="n"/>
      <c r="J8" s="62" t="n"/>
      <c r="K8" s="51">
        <f>IF(J8="","",IF(J8&lt;Start_Here!$C$4,"EXPIRED",IF(J8-Start_Here!$C$4&lt;=Start_Here!$C$5,"Expires within reminder window","OK")))</f>
        <v/>
      </c>
      <c r="L8" s="64">
        <f>SUMIFS(Roster!$F$4:$F$60,Roster!$J$4:$J$60,A8,Roster!$M$4:$M$60,"&lt;&gt;Cancelled")</f>
        <v/>
      </c>
      <c r="M8" s="65" t="n"/>
    </row>
    <row r="9" ht="15" customHeight="1" s="45">
      <c r="A9" s="51" t="inlineStr">
        <is>
          <t>S06</t>
        </is>
      </c>
      <c r="B9" s="51" t="inlineStr">
        <is>
          <t>Jamal Ortiz</t>
        </is>
      </c>
      <c r="C9" s="51" t="inlineStr">
        <is>
          <t>Admin officer</t>
        </is>
      </c>
      <c r="D9" s="51" t="inlineStr">
        <is>
          <t>Non-direct</t>
        </is>
      </c>
      <c r="E9" s="51" t="inlineStr">
        <is>
          <t>Melbourne</t>
        </is>
      </c>
      <c r="F9" s="51" t="inlineStr">
        <is>
          <t>Part-time</t>
        </is>
      </c>
      <c r="G9" s="51" t="inlineStr">
        <is>
          <t>Mon-Thu</t>
        </is>
      </c>
      <c r="H9" s="62" t="n"/>
      <c r="I9" s="62" t="n"/>
      <c r="J9" s="62" t="n"/>
      <c r="K9" s="51">
        <f>IF(J9="","",IF(J9&lt;Start_Here!$C$4,"EXPIRED",IF(J9-Start_Here!$C$4&lt;=Start_Here!$C$5,"Expires within reminder window","OK")))</f>
        <v/>
      </c>
      <c r="L9" s="64">
        <f>SUMIFS(Roster!$F$4:$F$60,Roster!$J$4:$J$60,A9,Roster!$M$4:$M$60,"&lt;&gt;Cancelled")</f>
        <v/>
      </c>
      <c r="M9" s="65" t="n"/>
    </row>
    <row r="10" ht="15" customHeight="1" s="45">
      <c r="A10" s="51" t="inlineStr">
        <is>
          <t>W01</t>
        </is>
      </c>
      <c r="B10" s="51" t="inlineStr">
        <is>
          <t>Joy Villanueva</t>
        </is>
      </c>
      <c r="C10" s="51" t="inlineStr">
        <is>
          <t>Support worker</t>
        </is>
      </c>
      <c r="D10" s="51" t="inlineStr">
        <is>
          <t>Direct support</t>
        </is>
      </c>
      <c r="E10" s="51" t="inlineStr">
        <is>
          <t>Melbourne</t>
        </is>
      </c>
      <c r="F10" s="51" t="inlineStr">
        <is>
          <t>Part-time</t>
        </is>
      </c>
      <c r="G10" s="51" t="inlineStr">
        <is>
          <t>Mon, Tue, Thu, Fri</t>
        </is>
      </c>
      <c r="H10" s="62" t="n"/>
      <c r="I10" s="62" t="n"/>
      <c r="J10" s="49" t="n">
        <v>46827</v>
      </c>
      <c r="K10" s="51">
        <f>IF(J10="","",IF(J10&lt;Start_Here!$C$4,"EXPIRED",IF(J10-Start_Here!$C$4&lt;=Start_Here!$C$5,"Expires within reminder window","OK")))</f>
        <v/>
      </c>
      <c r="L10" s="64">
        <f>SUMIFS(Roster!$F$4:$F$60,Roster!$J$4:$J$60,A10,Roster!$M$4:$M$60,"&lt;&gt;Cancelled")</f>
        <v/>
      </c>
      <c r="M10" s="65" t="n"/>
    </row>
    <row r="11" ht="15" customHeight="1" s="45">
      <c r="A11" s="51" t="inlineStr">
        <is>
          <t>W02</t>
        </is>
      </c>
      <c r="B11" s="51" t="inlineStr">
        <is>
          <t>Ethan Clarke</t>
        </is>
      </c>
      <c r="C11" s="51" t="inlineStr">
        <is>
          <t>Support worker</t>
        </is>
      </c>
      <c r="D11" s="51" t="inlineStr">
        <is>
          <t>Direct support</t>
        </is>
      </c>
      <c r="E11" s="51" t="inlineStr">
        <is>
          <t>Melbourne</t>
        </is>
      </c>
      <c r="F11" s="51" t="inlineStr">
        <is>
          <t>Casual</t>
        </is>
      </c>
      <c r="G11" s="51" t="inlineStr">
        <is>
          <t>Wed-Sun</t>
        </is>
      </c>
      <c r="H11" s="62" t="n"/>
      <c r="I11" s="62" t="n"/>
      <c r="J11" s="49" t="n">
        <v>46721</v>
      </c>
      <c r="K11" s="51">
        <f>IF(J11="","",IF(J11&lt;Start_Here!$C$4,"EXPIRED",IF(J11-Start_Here!$C$4&lt;=Start_Here!$C$5,"Expires within reminder window","OK")))</f>
        <v/>
      </c>
      <c r="L11" s="64">
        <f>SUMIFS(Roster!$F$4:$F$60,Roster!$J$4:$J$60,A11,Roster!$M$4:$M$60,"&lt;&gt;Cancelled")</f>
        <v/>
      </c>
      <c r="M11" s="65" t="n"/>
    </row>
    <row r="12" ht="15" customHeight="1" s="45">
      <c r="A12" s="51" t="inlineStr">
        <is>
          <t>W03</t>
        </is>
      </c>
      <c r="B12" s="51" t="inlineStr">
        <is>
          <t>Sophie Lam</t>
        </is>
      </c>
      <c r="C12" s="51" t="inlineStr">
        <is>
          <t>Support worker</t>
        </is>
      </c>
      <c r="D12" s="51" t="inlineStr">
        <is>
          <t>Direct support</t>
        </is>
      </c>
      <c r="E12" s="51" t="inlineStr">
        <is>
          <t>Melbourne</t>
        </is>
      </c>
      <c r="F12" s="51" t="inlineStr">
        <is>
          <t>Full-time</t>
        </is>
      </c>
      <c r="G12" s="51" t="inlineStr">
        <is>
          <t>Mon-Fri</t>
        </is>
      </c>
      <c r="H12" s="62" t="n"/>
      <c r="I12" s="62" t="n"/>
      <c r="J12" s="49" t="n">
        <v>46629</v>
      </c>
      <c r="K12" s="51">
        <f>IF(J12="","",IF(J12&lt;Start_Here!$C$4,"EXPIRED",IF(J12-Start_Here!$C$4&lt;=Start_Here!$C$5,"Expires within reminder window","OK")))</f>
        <v/>
      </c>
      <c r="L12" s="64">
        <f>SUMIFS(Roster!$F$4:$F$60,Roster!$J$4:$J$60,A12,Roster!$M$4:$M$60,"&lt;&gt;Cancelled")</f>
        <v/>
      </c>
      <c r="M12" s="65" t="n"/>
    </row>
    <row r="13" ht="23.25" customHeight="1" s="45">
      <c r="A13" s="51" t="inlineStr">
        <is>
          <t>W04</t>
        </is>
      </c>
      <c r="B13" s="51" t="inlineStr">
        <is>
          <t>Rico Santos</t>
        </is>
      </c>
      <c r="C13" s="51" t="inlineStr">
        <is>
          <t>Support worker</t>
        </is>
      </c>
      <c r="D13" s="51" t="inlineStr">
        <is>
          <t>Direct support</t>
        </is>
      </c>
      <c r="E13" s="51" t="inlineStr">
        <is>
          <t>Melbourne</t>
        </is>
      </c>
      <c r="F13" s="51" t="inlineStr">
        <is>
          <t>Casual</t>
        </is>
      </c>
      <c r="G13" s="51" t="inlineStr">
        <is>
          <t>Mon-Sat</t>
        </is>
      </c>
      <c r="H13" s="62" t="n"/>
      <c r="I13" s="62" t="n"/>
      <c r="J13" s="49" t="n">
        <v>46346</v>
      </c>
      <c r="K13" s="51">
        <f>IF(J13="","",IF(J13&lt;Start_Here!$C$4,"EXPIRED",IF(J13-Start_Here!$C$4&lt;=Start_Here!$C$5,"Expires within reminder window","OK")))</f>
        <v/>
      </c>
      <c r="L13" s="64">
        <f>SUMIFS(Roster!$F$4:$F$60,Roster!$J$4:$J$60,A13,Roster!$M$4:$M$60,"&lt;&gt;Cancelled")</f>
        <v/>
      </c>
      <c r="M13" s="65" t="n"/>
    </row>
    <row r="14" ht="15" customHeight="1" s="45">
      <c r="A14" s="51" t="inlineStr">
        <is>
          <t>W05</t>
        </is>
      </c>
      <c r="B14" s="51" t="inlineStr">
        <is>
          <t>Amelia Fraser</t>
        </is>
      </c>
      <c r="C14" s="51" t="inlineStr">
        <is>
          <t>Support worker</t>
        </is>
      </c>
      <c r="D14" s="51" t="inlineStr">
        <is>
          <t>Direct support</t>
        </is>
      </c>
      <c r="E14" s="51" t="inlineStr">
        <is>
          <t>Melbourne</t>
        </is>
      </c>
      <c r="F14" s="51" t="inlineStr">
        <is>
          <t>Full-time</t>
        </is>
      </c>
      <c r="G14" s="51" t="inlineStr">
        <is>
          <t>Mon-Fri</t>
        </is>
      </c>
      <c r="H14" s="49" t="n">
        <v>46330</v>
      </c>
      <c r="I14" s="49" t="n">
        <v>46331</v>
      </c>
      <c r="J14" s="49" t="n">
        <v>46762</v>
      </c>
      <c r="K14" s="51">
        <f>IF(J14="","",IF(J14&lt;Start_Here!$C$4,"EXPIRED",IF(J14-Start_Here!$C$4&lt;=Start_Here!$C$5,"Expires within reminder window","OK")))</f>
        <v/>
      </c>
      <c r="L14" s="64">
        <f>SUMIFS(Roster!$F$4:$F$60,Roster!$J$4:$J$60,A14,Roster!$M$4:$M$60,"&lt;&gt;Cancelled")</f>
        <v/>
      </c>
      <c r="M14" s="51" t="inlineStr">
        <is>
          <t>Approved leave</t>
        </is>
      </c>
    </row>
    <row r="15" ht="15" customHeight="1" s="45">
      <c r="A15" s="51" t="inlineStr">
        <is>
          <t>W06</t>
        </is>
      </c>
      <c r="B15" s="51" t="inlineStr">
        <is>
          <t>Kwame Mensah</t>
        </is>
      </c>
      <c r="C15" s="51" t="inlineStr">
        <is>
          <t>Support worker</t>
        </is>
      </c>
      <c r="D15" s="51" t="inlineStr">
        <is>
          <t>Direct support</t>
        </is>
      </c>
      <c r="E15" s="51" t="inlineStr">
        <is>
          <t>Melbourne</t>
        </is>
      </c>
      <c r="F15" s="51" t="inlineStr">
        <is>
          <t>Part-time</t>
        </is>
      </c>
      <c r="G15" s="51" t="inlineStr">
        <is>
          <t>Tue-Sat</t>
        </is>
      </c>
      <c r="H15" s="62" t="n"/>
      <c r="I15" s="62" t="n"/>
      <c r="J15" s="49" t="n">
        <v>46519</v>
      </c>
      <c r="K15" s="51">
        <f>IF(J15="","",IF(J15&lt;Start_Here!$C$4,"EXPIRED",IF(J15-Start_Here!$C$4&lt;=Start_Here!$C$5,"Expires within reminder window","OK")))</f>
        <v/>
      </c>
      <c r="L15" s="64">
        <f>SUMIFS(Roster!$F$4:$F$60,Roster!$J$4:$J$60,A15,Roster!$M$4:$M$60,"&lt;&gt;Cancelled")</f>
        <v/>
      </c>
      <c r="M15" s="65" t="n"/>
    </row>
    <row r="16" ht="15" customHeight="1" s="45">
      <c r="A16" s="51" t="inlineStr">
        <is>
          <t>W07</t>
        </is>
      </c>
      <c r="B16" s="51" t="inlineStr">
        <is>
          <t>Isla Barrett</t>
        </is>
      </c>
      <c r="C16" s="51" t="inlineStr">
        <is>
          <t>Support worker</t>
        </is>
      </c>
      <c r="D16" s="51" t="inlineStr">
        <is>
          <t>Direct support</t>
        </is>
      </c>
      <c r="E16" s="51" t="inlineStr">
        <is>
          <t>Gold Coast</t>
        </is>
      </c>
      <c r="F16" s="51" t="inlineStr">
        <is>
          <t>Part-time</t>
        </is>
      </c>
      <c r="G16" s="51" t="inlineStr">
        <is>
          <t>Mon-Sat</t>
        </is>
      </c>
      <c r="H16" s="62" t="n"/>
      <c r="I16" s="62" t="n"/>
      <c r="J16" s="49" t="n">
        <v>46639</v>
      </c>
      <c r="K16" s="51">
        <f>IF(J16="","",IF(J16&lt;Start_Here!$C$4,"EXPIRED",IF(J16-Start_Here!$C$4&lt;=Start_Here!$C$5,"Expires within reminder window","OK")))</f>
        <v/>
      </c>
      <c r="L16" s="64">
        <f>SUMIFS(Roster!$F$4:$F$60,Roster!$J$4:$J$60,A16,Roster!$M$4:$M$60,"&lt;&gt;Cancelled")</f>
        <v/>
      </c>
      <c r="M16" s="65" t="n"/>
    </row>
    <row r="17" ht="15" customHeight="1" s="45">
      <c r="A17" s="51" t="inlineStr">
        <is>
          <t>W08</t>
        </is>
      </c>
      <c r="B17" s="51" t="inlineStr">
        <is>
          <t>Noah Kelly</t>
        </is>
      </c>
      <c r="C17" s="51" t="inlineStr">
        <is>
          <t>Support worker</t>
        </is>
      </c>
      <c r="D17" s="51" t="inlineStr">
        <is>
          <t>Direct support</t>
        </is>
      </c>
      <c r="E17" s="51" t="inlineStr">
        <is>
          <t>Gold Coast</t>
        </is>
      </c>
      <c r="F17" s="51" t="inlineStr">
        <is>
          <t>Casual</t>
        </is>
      </c>
      <c r="G17" s="51" t="inlineStr">
        <is>
          <t>Wed-Sun</t>
        </is>
      </c>
      <c r="H17" s="62" t="n"/>
      <c r="I17" s="62" t="n"/>
      <c r="J17" s="49" t="n">
        <v>46320</v>
      </c>
      <c r="K17" s="51">
        <f>IF(J17="","",IF(J17&lt;Start_Here!$C$4,"EXPIRED",IF(J17-Start_Here!$C$4&lt;=Start_Here!$C$5,"Expires within reminder window","OK")))</f>
        <v/>
      </c>
      <c r="L17" s="64">
        <f>SUMIFS(Roster!$F$4:$F$60,Roster!$J$4:$J$60,A17,Roster!$M$4:$M$60,"&lt;&gt;Cancelled")</f>
        <v/>
      </c>
      <c r="M17" s="65" t="n"/>
    </row>
    <row r="18" ht="15" customHeight="1" s="45">
      <c r="A18" s="51" t="inlineStr">
        <is>
          <t>W09</t>
        </is>
      </c>
      <c r="B18" s="51" t="inlineStr">
        <is>
          <t>Mei Tanaka</t>
        </is>
      </c>
      <c r="C18" s="51" t="inlineStr">
        <is>
          <t>Support worker</t>
        </is>
      </c>
      <c r="D18" s="51" t="inlineStr">
        <is>
          <t>Direct support</t>
        </is>
      </c>
      <c r="E18" s="51" t="inlineStr">
        <is>
          <t>Melbourne</t>
        </is>
      </c>
      <c r="F18" s="51" t="inlineStr">
        <is>
          <t>Casual</t>
        </is>
      </c>
      <c r="G18" s="51" t="inlineStr">
        <is>
          <t>Sat-Sun</t>
        </is>
      </c>
      <c r="H18" s="62" t="n"/>
      <c r="I18" s="62" t="n"/>
      <c r="J18" s="49" t="n">
        <v>46436</v>
      </c>
      <c r="K18" s="51">
        <f>IF(J18="","",IF(J18&lt;Start_Here!$C$4,"EXPIRED",IF(J18-Start_Here!$C$4&lt;=Start_Here!$C$5,"Expires within reminder window","OK")))</f>
        <v/>
      </c>
      <c r="L18" s="64">
        <f>SUMIFS(Roster!$F$4:$F$60,Roster!$J$4:$J$60,A18,Roster!$M$4:$M$60,"&lt;&gt;Cancelled")</f>
        <v/>
      </c>
      <c r="M18" s="65" t="n"/>
    </row>
    <row r="19" ht="15" customHeight="1" s="45">
      <c r="A19" s="51" t="inlineStr">
        <is>
          <t>W10</t>
        </is>
      </c>
      <c r="B19" s="51" t="inlineStr">
        <is>
          <t>Liam Doyle</t>
        </is>
      </c>
      <c r="C19" s="51" t="inlineStr">
        <is>
          <t>Support worker</t>
        </is>
      </c>
      <c r="D19" s="51" t="inlineStr">
        <is>
          <t>Direct support</t>
        </is>
      </c>
      <c r="E19" s="51" t="inlineStr">
        <is>
          <t>Melbourne</t>
        </is>
      </c>
      <c r="F19" s="51" t="inlineStr">
        <is>
          <t>Part-time</t>
        </is>
      </c>
      <c r="G19" s="51" t="inlineStr">
        <is>
          <t>Mon-Fri</t>
        </is>
      </c>
      <c r="H19" s="62" t="n"/>
      <c r="I19" s="62" t="n"/>
      <c r="J19" s="49" t="n">
        <v>46539</v>
      </c>
      <c r="K19" s="51">
        <f>IF(J19="","",IF(J19&lt;Start_Here!$C$4,"EXPIRED",IF(J19-Start_Here!$C$4&lt;=Start_Here!$C$5,"Expires within reminder window","OK")))</f>
        <v/>
      </c>
      <c r="L19" s="64">
        <f>SUMIFS(Roster!$F$4:$F$60,Roster!$J$4:$J$60,A19,Roster!$M$4:$M$60,"&lt;&gt;Cancelled")</f>
        <v/>
      </c>
      <c r="M19" s="65" t="n"/>
    </row>
    <row r="20" ht="15" customHeight="1" s="45">
      <c r="A20" s="51" t="inlineStr">
        <is>
          <t>W11</t>
        </is>
      </c>
      <c r="B20" s="51" t="inlineStr">
        <is>
          <t>Farah Hussein</t>
        </is>
      </c>
      <c r="C20" s="51" t="inlineStr">
        <is>
          <t>Support worker</t>
        </is>
      </c>
      <c r="D20" s="51" t="inlineStr">
        <is>
          <t>Direct support</t>
        </is>
      </c>
      <c r="E20" s="51" t="inlineStr">
        <is>
          <t>Melbourne</t>
        </is>
      </c>
      <c r="F20" s="51" t="inlineStr">
        <is>
          <t>Casual</t>
        </is>
      </c>
      <c r="G20" s="51" t="inlineStr">
        <is>
          <t>Sat-Sun</t>
        </is>
      </c>
      <c r="H20" s="62" t="n"/>
      <c r="I20" s="62" t="n"/>
      <c r="J20" s="49" t="n">
        <v>46847</v>
      </c>
      <c r="K20" s="51">
        <f>IF(J20="","",IF(J20&lt;Start_Here!$C$4,"EXPIRED",IF(J20-Start_Here!$C$4&lt;=Start_Here!$C$5,"Expires within reminder window","OK")))</f>
        <v/>
      </c>
      <c r="L20" s="64">
        <f>SUMIFS(Roster!$F$4:$F$60,Roster!$J$4:$J$60,A20,Roster!$M$4:$M$60,"&lt;&gt;Cancelled")</f>
        <v/>
      </c>
      <c r="M20" s="65" t="n"/>
    </row>
    <row r="21" ht="15" customHeight="1" s="45">
      <c r="A21" s="51" t="inlineStr">
        <is>
          <t>W12</t>
        </is>
      </c>
      <c r="B21" s="51" t="inlineStr">
        <is>
          <t>George Papadakis</t>
        </is>
      </c>
      <c r="C21" s="51" t="inlineStr">
        <is>
          <t>Support worker</t>
        </is>
      </c>
      <c r="D21" s="51" t="inlineStr">
        <is>
          <t>Direct support</t>
        </is>
      </c>
      <c r="E21" s="51" t="inlineStr">
        <is>
          <t>Melbourne</t>
        </is>
      </c>
      <c r="F21" s="51" t="inlineStr">
        <is>
          <t>Part-time</t>
        </is>
      </c>
      <c r="G21" s="51" t="inlineStr">
        <is>
          <t>Tue, Sun</t>
        </is>
      </c>
      <c r="H21" s="62" t="n"/>
      <c r="I21" s="62" t="n"/>
      <c r="J21" s="49" t="n">
        <v>46733</v>
      </c>
      <c r="K21" s="51">
        <f>IF(J21="","",IF(J21&lt;Start_Here!$C$4,"EXPIRED",IF(J21-Start_Here!$C$4&lt;=Start_Here!$C$5,"Expires within reminder window","OK")))</f>
        <v/>
      </c>
      <c r="L21" s="64">
        <f>SUMIFS(Roster!$F$4:$F$60,Roster!$J$4:$J$60,A21,Roster!$M$4:$M$60,"&lt;&gt;Cancelled")</f>
        <v/>
      </c>
      <c r="M21" s="65" t="n"/>
    </row>
    <row r="22" ht="23.25" customHeight="1" s="45">
      <c r="A22" s="51" t="inlineStr">
        <is>
          <t>A01</t>
        </is>
      </c>
      <c r="B22" s="51" t="inlineStr">
        <is>
          <t>Naomi Cheung</t>
        </is>
      </c>
      <c r="C22" s="51" t="inlineStr">
        <is>
          <t>Occupational therapist (contractor)</t>
        </is>
      </c>
      <c r="D22" s="51" t="inlineStr">
        <is>
          <t>Allied health</t>
        </is>
      </c>
      <c r="E22" s="51" t="inlineStr">
        <is>
          <t>Melbourne</t>
        </is>
      </c>
      <c r="F22" s="51" t="inlineStr">
        <is>
          <t>Contractor</t>
        </is>
      </c>
      <c r="G22" s="51" t="inlineStr">
        <is>
          <t>Tue, Thu</t>
        </is>
      </c>
      <c r="H22" s="62" t="n"/>
      <c r="I22" s="62" t="n"/>
      <c r="J22" s="62" t="n"/>
      <c r="K22" s="51">
        <f>IF(J22="","",IF(J22&lt;Start_Here!$C$4,"EXPIRED",IF(J22-Start_Here!$C$4&lt;=Start_Here!$C$5,"Expires within reminder window","OK")))</f>
        <v/>
      </c>
      <c r="L22" s="64">
        <f>SUMIFS(Roster!$F$4:$F$60,Roster!$J$4:$J$60,A22,Roster!$M$4:$M$60,"&lt;&gt;Cancelled")</f>
        <v/>
      </c>
      <c r="M22" s="51" t="inlineStr">
        <is>
          <t>Confirm any screening requirement with the manager</t>
        </is>
      </c>
    </row>
    <row r="23" ht="23.25" customHeight="1" s="45">
      <c r="A23" s="51" t="inlineStr">
        <is>
          <t>A02</t>
        </is>
      </c>
      <c r="B23" s="51" t="inlineStr">
        <is>
          <t>Peter Lindqvist</t>
        </is>
      </c>
      <c r="C23" s="51" t="inlineStr">
        <is>
          <t>Physiotherapist (contractor)</t>
        </is>
      </c>
      <c r="D23" s="51" t="inlineStr">
        <is>
          <t>Allied health</t>
        </is>
      </c>
      <c r="E23" s="51" t="inlineStr">
        <is>
          <t>Melbourne</t>
        </is>
      </c>
      <c r="F23" s="51" t="inlineStr">
        <is>
          <t>Contractor</t>
        </is>
      </c>
      <c r="G23" s="51" t="inlineStr">
        <is>
          <t>Mon, Wed</t>
        </is>
      </c>
      <c r="H23" s="62" t="n"/>
      <c r="I23" s="62" t="n"/>
      <c r="J23" s="62" t="n"/>
      <c r="K23" s="51">
        <f>IF(J23="","",IF(J23&lt;Start_Here!$C$4,"EXPIRED",IF(J23-Start_Here!$C$4&lt;=Start_Here!$C$5,"Expires within reminder window","OK")))</f>
        <v/>
      </c>
      <c r="L23" s="64">
        <f>SUMIFS(Roster!$F$4:$F$60,Roster!$J$4:$J$60,A23,Roster!$M$4:$M$60,"&lt;&gt;Cancelled")</f>
        <v/>
      </c>
      <c r="M23" s="51" t="inlineStr">
        <is>
          <t>Confirm any screening requirement with the manager</t>
        </is>
      </c>
    </row>
    <row r="24" ht="23.25" customHeight="1" s="45">
      <c r="A24" s="51" t="inlineStr">
        <is>
          <t>A03</t>
        </is>
      </c>
      <c r="B24" s="51" t="inlineStr">
        <is>
          <t>Dana Okafor</t>
        </is>
      </c>
      <c r="C24" s="51" t="inlineStr">
        <is>
          <t>Psychologist (contractor)</t>
        </is>
      </c>
      <c r="D24" s="51" t="inlineStr">
        <is>
          <t>Allied health</t>
        </is>
      </c>
      <c r="E24" s="51" t="inlineStr">
        <is>
          <t>Melbourne</t>
        </is>
      </c>
      <c r="F24" s="51" t="inlineStr">
        <is>
          <t>Contractor</t>
        </is>
      </c>
      <c r="G24" s="51" t="inlineStr">
        <is>
          <t>Tue, Fri</t>
        </is>
      </c>
      <c r="H24" s="62" t="n"/>
      <c r="I24" s="62" t="n"/>
      <c r="J24" s="62" t="n"/>
      <c r="K24" s="51">
        <f>IF(J24="","",IF(J24&lt;Start_Here!$C$4,"EXPIRED",IF(J24-Start_Here!$C$4&lt;=Start_Here!$C$5,"Expires within reminder window","OK")))</f>
        <v/>
      </c>
      <c r="L24" s="64">
        <f>SUMIFS(Roster!$F$4:$F$60,Roster!$J$4:$J$60,A24,Roster!$M$4:$M$60,"&lt;&gt;Cancelled")</f>
        <v/>
      </c>
      <c r="M24" s="51" t="inlineStr">
        <is>
          <t>Confirm any screening requirement with the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O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1" customWidth="1" style="44" min="2" max="2"/>
    <col width="18" customWidth="1" style="44" min="3" max="3"/>
    <col width="10" customWidth="1" style="44" min="4" max="5"/>
    <col width="42" customWidth="1" style="44" min="6" max="6"/>
    <col width="16" customWidth="1" style="44" min="7" max="7"/>
    <col width="42" customWidth="1" style="44" min="8" max="8"/>
    <col width="25" customWidth="1" style="44" min="9" max="9"/>
    <col width="11" customWidth="1" style="44" min="10" max="10"/>
    <col width="42" customWidth="1" style="44" min="11" max="11"/>
    <col width="12" customWidth="1" style="44" min="12" max="14"/>
    <col width="42" customWidth="1" style="44" min="15" max="15"/>
  </cols>
  <sheetData>
    <row r="1" ht="17.25" customHeight="1" s="45">
      <c r="A1" s="58" t="inlineStr">
        <is>
          <t>Practice week roster (Mon 2 to Sun 8 Nov 2026)</t>
        </is>
      </c>
    </row>
    <row r="2" ht="15" customHeight="1" s="45">
      <c r="A2" s="59" t="inlineStr">
        <is>
          <t>Times are local to the site. Look for problems, then note them in the yellow column. Names and hours are looked up for you.</t>
        </is>
      </c>
    </row>
    <row r="3" ht="33.75" customHeight="1" s="45">
      <c r="A3" s="60" t="inlineStr">
        <is>
          <t>Shift ID</t>
        </is>
      </c>
      <c r="B3" s="60" t="inlineStr">
        <is>
          <t>Date</t>
        </is>
      </c>
      <c r="C3" s="60" t="inlineStr">
        <is>
          <t>Day</t>
        </is>
      </c>
      <c r="D3" s="60" t="inlineStr">
        <is>
          <t>Start</t>
        </is>
      </c>
      <c r="E3" s="60" t="inlineStr">
        <is>
          <t>End</t>
        </is>
      </c>
      <c r="F3" s="60" t="inlineStr">
        <is>
          <t>Hours</t>
        </is>
      </c>
      <c r="G3" s="60" t="inlineStr">
        <is>
          <t>Participant ID</t>
        </is>
      </c>
      <c r="H3" s="60" t="inlineStr">
        <is>
          <t>Participant name</t>
        </is>
      </c>
      <c r="I3" s="60" t="inlineStr">
        <is>
          <t>Support type</t>
        </is>
      </c>
      <c r="J3" s="60" t="inlineStr">
        <is>
          <t>Worker ID</t>
        </is>
      </c>
      <c r="K3" s="60" t="inlineStr">
        <is>
          <t>Worker name</t>
        </is>
      </c>
      <c r="L3" s="60" t="inlineStr">
        <is>
          <t>Site</t>
        </is>
      </c>
      <c r="M3" s="60" t="inlineStr">
        <is>
          <t>Status</t>
        </is>
      </c>
      <c r="N3" s="60" t="inlineStr">
        <is>
          <t>Time zone entered</t>
        </is>
      </c>
      <c r="O3" s="60" t="inlineStr">
        <is>
          <t>Your notes</t>
        </is>
      </c>
    </row>
    <row r="4" ht="15" customHeight="1" s="45">
      <c r="A4" s="51" t="inlineStr">
        <is>
          <t>R01</t>
        </is>
      </c>
      <c r="B4" s="49" t="n">
        <v>46328</v>
      </c>
      <c r="C4" s="51">
        <f>TEXT(B4,"ddd")</f>
        <v/>
      </c>
      <c r="D4" s="66" t="n">
        <v>0.375</v>
      </c>
      <c r="E4" s="66" t="n">
        <v>0.5416666666666666</v>
      </c>
      <c r="F4" s="64">
        <f>IF(AND(ISNUMBER(D4),ISNUMBER(E4)),(E4-D4)*24,"")</f>
        <v/>
      </c>
      <c r="G4" s="51" t="inlineStr">
        <is>
          <t>P04</t>
        </is>
      </c>
      <c r="H4" s="51">
        <f>IF(G4="","",IFERROR(INDEX(Participants!$B$4:$B$15,MATCH(G4,Participants!$A$4:$A$15,0)),"NOT FOUND"))</f>
        <v/>
      </c>
      <c r="I4" s="51" t="inlineStr">
        <is>
          <t>Daily living</t>
        </is>
      </c>
      <c r="J4" s="51" t="inlineStr">
        <is>
          <t>W03</t>
        </is>
      </c>
      <c r="K4" s="51">
        <f>IF(J4="","",IFERROR(INDEX(Staff!$B$4:$B$40,MATCH(J4,Staff!$A$4:$A$40,0)),"NOT FOUND"))</f>
        <v/>
      </c>
      <c r="L4" s="51" t="inlineStr">
        <is>
          <t>Melbourne</t>
        </is>
      </c>
      <c r="M4" s="51" t="inlineStr">
        <is>
          <t>Confirmed</t>
        </is>
      </c>
      <c r="N4" s="51" t="inlineStr">
        <is>
          <t>AEDT</t>
        </is>
      </c>
      <c r="O4" s="67" t="n"/>
    </row>
    <row r="5" ht="15" customHeight="1" s="45">
      <c r="A5" s="51" t="inlineStr">
        <is>
          <t>R02</t>
        </is>
      </c>
      <c r="B5" s="49" t="n">
        <v>46328</v>
      </c>
      <c r="C5" s="51">
        <f>TEXT(B5,"ddd")</f>
        <v/>
      </c>
      <c r="D5" s="66" t="n">
        <v>0.5</v>
      </c>
      <c r="E5" s="66" t="n">
        <v>0.6666666666666666</v>
      </c>
      <c r="F5" s="64">
        <f>IF(AND(ISNUMBER(D5),ISNUMBER(E5)),(E5-D5)*24,"")</f>
        <v/>
      </c>
      <c r="G5" s="51" t="inlineStr">
        <is>
          <t>P06</t>
        </is>
      </c>
      <c r="H5" s="51">
        <f>IF(G5="","",IFERROR(INDEX(Participants!$B$4:$B$15,MATCH(G5,Participants!$A$4:$A$15,0)),"NOT FOUND"))</f>
        <v/>
      </c>
      <c r="I5" s="51" t="inlineStr">
        <is>
          <t>Daily living</t>
        </is>
      </c>
      <c r="J5" s="51" t="inlineStr">
        <is>
          <t>W03</t>
        </is>
      </c>
      <c r="K5" s="51">
        <f>IF(J5="","",IFERROR(INDEX(Staff!$B$4:$B$40,MATCH(J5,Staff!$A$4:$A$40,0)),"NOT FOUND"))</f>
        <v/>
      </c>
      <c r="L5" s="51" t="inlineStr">
        <is>
          <t>Melbourne</t>
        </is>
      </c>
      <c r="M5" s="51" t="inlineStr">
        <is>
          <t>Confirmed</t>
        </is>
      </c>
      <c r="N5" s="51" t="inlineStr">
        <is>
          <t>AEDT</t>
        </is>
      </c>
      <c r="O5" s="67" t="n"/>
    </row>
    <row r="6" ht="15" customHeight="1" s="45">
      <c r="A6" s="51" t="inlineStr">
        <is>
          <t>R03</t>
        </is>
      </c>
      <c r="B6" s="49" t="n">
        <v>46328</v>
      </c>
      <c r="C6" s="51">
        <f>TEXT(B6,"ddd")</f>
        <v/>
      </c>
      <c r="D6" s="66" t="n">
        <v>0.4166666666666667</v>
      </c>
      <c r="E6" s="66" t="n">
        <v>0.5</v>
      </c>
      <c r="F6" s="64">
        <f>IF(AND(ISNUMBER(D6),ISNUMBER(E6)),(E6-D6)*24,"")</f>
        <v/>
      </c>
      <c r="G6" s="51" t="inlineStr">
        <is>
          <t>P01</t>
        </is>
      </c>
      <c r="H6" s="51">
        <f>IF(G6="","",IFERROR(INDEX(Participants!$B$4:$B$15,MATCH(G6,Participants!$A$4:$A$15,0)),"NOT FOUND"))</f>
        <v/>
      </c>
      <c r="I6" s="51" t="inlineStr">
        <is>
          <t>Community access</t>
        </is>
      </c>
      <c r="J6" s="51" t="inlineStr">
        <is>
          <t>W01</t>
        </is>
      </c>
      <c r="K6" s="51">
        <f>IF(J6="","",IFERROR(INDEX(Staff!$B$4:$B$40,MATCH(J6,Staff!$A$4:$A$40,0)),"NOT FOUND"))</f>
        <v/>
      </c>
      <c r="L6" s="51" t="inlineStr">
        <is>
          <t>Melbourne</t>
        </is>
      </c>
      <c r="M6" s="51" t="inlineStr">
        <is>
          <t>Confirmed</t>
        </is>
      </c>
      <c r="N6" s="51" t="inlineStr">
        <is>
          <t>AEDT</t>
        </is>
      </c>
      <c r="O6" s="67" t="n"/>
    </row>
    <row r="7" ht="15" customHeight="1" s="45">
      <c r="A7" s="51" t="inlineStr">
        <is>
          <t>R04</t>
        </is>
      </c>
      <c r="B7" s="49" t="n">
        <v>46328</v>
      </c>
      <c r="C7" s="51">
        <f>TEXT(B7,"ddd")</f>
        <v/>
      </c>
      <c r="D7" s="66" t="n">
        <v>0.5833333333333334</v>
      </c>
      <c r="E7" s="66" t="n">
        <v>0.6666666666666666</v>
      </c>
      <c r="F7" s="64">
        <f>IF(AND(ISNUMBER(D7),ISNUMBER(E7)),(E7-D7)*24,"")</f>
        <v/>
      </c>
      <c r="G7" s="51" t="inlineStr">
        <is>
          <t>P02</t>
        </is>
      </c>
      <c r="H7" s="51">
        <f>IF(G7="","",IFERROR(INDEX(Participants!$B$4:$B$15,MATCH(G7,Participants!$A$4:$A$15,0)),"NOT FOUND"))</f>
        <v/>
      </c>
      <c r="I7" s="51" t="inlineStr">
        <is>
          <t>Daily living</t>
        </is>
      </c>
      <c r="J7" s="51" t="inlineStr">
        <is>
          <t>W10</t>
        </is>
      </c>
      <c r="K7" s="51">
        <f>IF(J7="","",IFERROR(INDEX(Staff!$B$4:$B$40,MATCH(J7,Staff!$A$4:$A$40,0)),"NOT FOUND"))</f>
        <v/>
      </c>
      <c r="L7" s="51" t="inlineStr">
        <is>
          <t>Melbourne</t>
        </is>
      </c>
      <c r="M7" s="51" t="inlineStr">
        <is>
          <t>Confirmed</t>
        </is>
      </c>
      <c r="N7" s="51" t="inlineStr">
        <is>
          <t>AEDT</t>
        </is>
      </c>
      <c r="O7" s="67" t="n"/>
    </row>
    <row r="8" ht="15" customHeight="1" s="45">
      <c r="A8" s="51" t="inlineStr">
        <is>
          <t>R05</t>
        </is>
      </c>
      <c r="B8" s="49" t="n">
        <v>46329</v>
      </c>
      <c r="C8" s="51">
        <f>TEXT(B8,"ddd")</f>
        <v/>
      </c>
      <c r="D8" s="66" t="n">
        <v>0.375</v>
      </c>
      <c r="E8" s="66" t="n">
        <v>0.5416666666666666</v>
      </c>
      <c r="F8" s="64">
        <f>IF(AND(ISNUMBER(D8),ISNUMBER(E8)),(E8-D8)*24,"")</f>
        <v/>
      </c>
      <c r="G8" s="51" t="inlineStr">
        <is>
          <t>P06</t>
        </is>
      </c>
      <c r="H8" s="51">
        <f>IF(G8="","",IFERROR(INDEX(Participants!$B$4:$B$15,MATCH(G8,Participants!$A$4:$A$15,0)),"NOT FOUND"))</f>
        <v/>
      </c>
      <c r="I8" s="51" t="inlineStr">
        <is>
          <t>Daily living</t>
        </is>
      </c>
      <c r="J8" s="51" t="inlineStr">
        <is>
          <t>W06</t>
        </is>
      </c>
      <c r="K8" s="51">
        <f>IF(J8="","",IFERROR(INDEX(Staff!$B$4:$B$40,MATCH(J8,Staff!$A$4:$A$40,0)),"NOT FOUND"))</f>
        <v/>
      </c>
      <c r="L8" s="51" t="inlineStr">
        <is>
          <t>Melbourne</t>
        </is>
      </c>
      <c r="M8" s="51" t="inlineStr">
        <is>
          <t>Confirmed</t>
        </is>
      </c>
      <c r="N8" s="51" t="inlineStr">
        <is>
          <t>AEDT</t>
        </is>
      </c>
      <c r="O8" s="67" t="n"/>
    </row>
    <row r="9" ht="15" customHeight="1" s="45">
      <c r="A9" s="51" t="inlineStr">
        <is>
          <t>R06</t>
        </is>
      </c>
      <c r="B9" s="49" t="n">
        <v>46329</v>
      </c>
      <c r="C9" s="51">
        <f>TEXT(B9,"ddd")</f>
        <v/>
      </c>
      <c r="D9" s="66" t="n">
        <v>0.4166666666666667</v>
      </c>
      <c r="E9" s="66" t="n">
        <v>0.5833333333333334</v>
      </c>
      <c r="F9" s="64">
        <f>IF(AND(ISNUMBER(D9),ISNUMBER(E9)),(E9-D9)*24,"")</f>
        <v/>
      </c>
      <c r="G9" s="51" t="inlineStr">
        <is>
          <t>P11</t>
        </is>
      </c>
      <c r="H9" s="51">
        <f>IF(G9="","",IFERROR(INDEX(Participants!$B$4:$B$15,MATCH(G9,Participants!$A$4:$A$15,0)),"NOT FOUND"))</f>
        <v/>
      </c>
      <c r="I9" s="51" t="inlineStr">
        <is>
          <t>Daily living</t>
        </is>
      </c>
      <c r="J9" s="51" t="inlineStr">
        <is>
          <t>W12</t>
        </is>
      </c>
      <c r="K9" s="51">
        <f>IF(J9="","",IFERROR(INDEX(Staff!$B$4:$B$40,MATCH(J9,Staff!$A$4:$A$40,0)),"NOT FOUND"))</f>
        <v/>
      </c>
      <c r="L9" s="51" t="inlineStr">
        <is>
          <t>Melbourne</t>
        </is>
      </c>
      <c r="M9" s="51" t="inlineStr">
        <is>
          <t>Confirmed</t>
        </is>
      </c>
      <c r="N9" s="51" t="inlineStr">
        <is>
          <t>AEDT</t>
        </is>
      </c>
      <c r="O9" s="67" t="n"/>
    </row>
    <row r="10" ht="15" customHeight="1" s="45">
      <c r="A10" s="51" t="inlineStr">
        <is>
          <t>R07</t>
        </is>
      </c>
      <c r="B10" s="49" t="n">
        <v>46329</v>
      </c>
      <c r="C10" s="51">
        <f>TEXT(B10,"ddd")</f>
        <v/>
      </c>
      <c r="D10" s="66" t="n">
        <v>0.375</v>
      </c>
      <c r="E10" s="66" t="n">
        <v>0.5</v>
      </c>
      <c r="F10" s="64">
        <f>IF(AND(ISNUMBER(D10),ISNUMBER(E10)),(E10-D10)*24,"")</f>
        <v/>
      </c>
      <c r="G10" s="51" t="inlineStr">
        <is>
          <t>P08</t>
        </is>
      </c>
      <c r="H10" s="51">
        <f>IF(G10="","",IFERROR(INDEX(Participants!$B$4:$B$15,MATCH(G10,Participants!$A$4:$A$15,0)),"NOT FOUND"))</f>
        <v/>
      </c>
      <c r="I10" s="51" t="inlineStr">
        <is>
          <t>Community access</t>
        </is>
      </c>
      <c r="J10" s="51" t="inlineStr">
        <is>
          <t>W07</t>
        </is>
      </c>
      <c r="K10" s="51">
        <f>IF(J10="","",IFERROR(INDEX(Staff!$B$4:$B$40,MATCH(J10,Staff!$A$4:$A$40,0)),"NOT FOUND"))</f>
        <v/>
      </c>
      <c r="L10" s="51" t="inlineStr">
        <is>
          <t>Gold Coast</t>
        </is>
      </c>
      <c r="M10" s="51" t="inlineStr">
        <is>
          <t>Confirmed</t>
        </is>
      </c>
      <c r="N10" s="51" t="inlineStr">
        <is>
          <t>AEST</t>
        </is>
      </c>
      <c r="O10" s="67" t="n"/>
    </row>
    <row r="11" ht="15" customHeight="1" s="45">
      <c r="A11" s="51" t="inlineStr">
        <is>
          <t>R08</t>
        </is>
      </c>
      <c r="B11" s="49" t="n">
        <v>46330</v>
      </c>
      <c r="C11" s="51">
        <f>TEXT(B11,"ddd")</f>
        <v/>
      </c>
      <c r="D11" s="66" t="n">
        <v>0.4166666666666667</v>
      </c>
      <c r="E11" s="66" t="n">
        <v>0.5833333333333334</v>
      </c>
      <c r="F11" s="64">
        <f>IF(AND(ISNUMBER(D11),ISNUMBER(E11)),(E11-D11)*24,"")</f>
        <v/>
      </c>
      <c r="G11" s="51" t="inlineStr">
        <is>
          <t>P02</t>
        </is>
      </c>
      <c r="H11" s="51">
        <f>IF(G11="","",IFERROR(INDEX(Participants!$B$4:$B$15,MATCH(G11,Participants!$A$4:$A$15,0)),"NOT FOUND"))</f>
        <v/>
      </c>
      <c r="I11" s="51" t="inlineStr">
        <is>
          <t>Daily living</t>
        </is>
      </c>
      <c r="J11" s="51" t="inlineStr">
        <is>
          <t>W05</t>
        </is>
      </c>
      <c r="K11" s="51">
        <f>IF(J11="","",IFERROR(INDEX(Staff!$B$4:$B$40,MATCH(J11,Staff!$A$4:$A$40,0)),"NOT FOUND"))</f>
        <v/>
      </c>
      <c r="L11" s="51" t="inlineStr">
        <is>
          <t>Melbourne</t>
        </is>
      </c>
      <c r="M11" s="51" t="inlineStr">
        <is>
          <t>Confirmed</t>
        </is>
      </c>
      <c r="N11" s="51" t="inlineStr">
        <is>
          <t>AEDT</t>
        </is>
      </c>
      <c r="O11" s="67" t="n"/>
    </row>
    <row r="12" ht="15" customHeight="1" s="45">
      <c r="A12" s="51" t="inlineStr">
        <is>
          <t>R09</t>
        </is>
      </c>
      <c r="B12" s="49" t="n">
        <v>46330</v>
      </c>
      <c r="C12" s="51">
        <f>TEXT(B12,"ddd")</f>
        <v/>
      </c>
      <c r="D12" s="66" t="n">
        <v>0.375</v>
      </c>
      <c r="E12" s="66" t="n">
        <v>0.5416666666666666</v>
      </c>
      <c r="F12" s="64">
        <f>IF(AND(ISNUMBER(D12),ISNUMBER(E12)),(E12-D12)*24,"")</f>
        <v/>
      </c>
      <c r="G12" s="51" t="inlineStr">
        <is>
          <t>P08</t>
        </is>
      </c>
      <c r="H12" s="51">
        <f>IF(G12="","",IFERROR(INDEX(Participants!$B$4:$B$15,MATCH(G12,Participants!$A$4:$A$15,0)),"NOT FOUND"))</f>
        <v/>
      </c>
      <c r="I12" s="51" t="inlineStr">
        <is>
          <t>Community access</t>
        </is>
      </c>
      <c r="J12" s="51" t="inlineStr">
        <is>
          <t>W08</t>
        </is>
      </c>
      <c r="K12" s="51">
        <f>IF(J12="","",IFERROR(INDEX(Staff!$B$4:$B$40,MATCH(J12,Staff!$A$4:$A$40,0)),"NOT FOUND"))</f>
        <v/>
      </c>
      <c r="L12" s="51" t="inlineStr">
        <is>
          <t>Gold Coast</t>
        </is>
      </c>
      <c r="M12" s="51" t="inlineStr">
        <is>
          <t>Confirmed</t>
        </is>
      </c>
      <c r="N12" s="51" t="inlineStr">
        <is>
          <t>AEST</t>
        </is>
      </c>
      <c r="O12" s="67" t="n"/>
    </row>
    <row r="13" ht="15" customHeight="1" s="45">
      <c r="A13" s="51" t="inlineStr">
        <is>
          <t>R10</t>
        </is>
      </c>
      <c r="B13" s="49" t="n">
        <v>46330</v>
      </c>
      <c r="C13" s="51">
        <f>TEXT(B13,"ddd")</f>
        <v/>
      </c>
      <c r="D13" s="66" t="n">
        <v>0.5416666666666666</v>
      </c>
      <c r="E13" s="66" t="n">
        <v>0.625</v>
      </c>
      <c r="F13" s="64">
        <f>IF(AND(ISNUMBER(D13),ISNUMBER(E13)),(E13-D13)*24,"")</f>
        <v/>
      </c>
      <c r="G13" s="51" t="inlineStr">
        <is>
          <t>P12</t>
        </is>
      </c>
      <c r="H13" s="51">
        <f>IF(G13="","",IFERROR(INDEX(Participants!$B$4:$B$15,MATCH(G13,Participants!$A$4:$A$15,0)),"NOT FOUND"))</f>
        <v/>
      </c>
      <c r="I13" s="51" t="inlineStr">
        <is>
          <t>Physiotherapy</t>
        </is>
      </c>
      <c r="J13" s="51" t="inlineStr">
        <is>
          <t>A02</t>
        </is>
      </c>
      <c r="K13" s="51">
        <f>IF(J13="","",IFERROR(INDEX(Staff!$B$4:$B$40,MATCH(J13,Staff!$A$4:$A$40,0)),"NOT FOUND"))</f>
        <v/>
      </c>
      <c r="L13" s="51" t="inlineStr">
        <is>
          <t>Melbourne</t>
        </is>
      </c>
      <c r="M13" s="51" t="inlineStr">
        <is>
          <t>Confirmed</t>
        </is>
      </c>
      <c r="N13" s="51" t="inlineStr">
        <is>
          <t>AEDT</t>
        </is>
      </c>
      <c r="O13" s="67" t="n"/>
    </row>
    <row r="14" ht="15" customHeight="1" s="45">
      <c r="A14" s="51" t="inlineStr">
        <is>
          <t>R11</t>
        </is>
      </c>
      <c r="B14" s="49" t="n">
        <v>46330</v>
      </c>
      <c r="C14" s="51">
        <f>TEXT(B14,"ddd")</f>
        <v/>
      </c>
      <c r="D14" s="66" t="n">
        <v>0.375</v>
      </c>
      <c r="E14" s="66" t="n">
        <v>0.4166666666666667</v>
      </c>
      <c r="F14" s="64">
        <f>IF(AND(ISNUMBER(D14),ISNUMBER(E14)),(E14-D14)*24,"")</f>
        <v/>
      </c>
      <c r="G14" s="51" t="inlineStr">
        <is>
          <t>P01</t>
        </is>
      </c>
      <c r="H14" s="51">
        <f>IF(G14="","",IFERROR(INDEX(Participants!$B$4:$B$15,MATCH(G14,Participants!$A$4:$A$15,0)),"NOT FOUND"))</f>
        <v/>
      </c>
      <c r="I14" s="51" t="inlineStr">
        <is>
          <t>Physiotherapy</t>
        </is>
      </c>
      <c r="J14" s="51" t="inlineStr">
        <is>
          <t>A02</t>
        </is>
      </c>
      <c r="K14" s="51">
        <f>IF(J14="","",IFERROR(INDEX(Staff!$B$4:$B$40,MATCH(J14,Staff!$A$4:$A$40,0)),"NOT FOUND"))</f>
        <v/>
      </c>
      <c r="L14" s="51" t="inlineStr">
        <is>
          <t>Melbourne</t>
        </is>
      </c>
      <c r="M14" s="51" t="inlineStr">
        <is>
          <t>Confirmed</t>
        </is>
      </c>
      <c r="N14" s="51" t="inlineStr">
        <is>
          <t>AEDT</t>
        </is>
      </c>
      <c r="O14" s="67" t="n"/>
    </row>
    <row r="15" ht="15" customHeight="1" s="45">
      <c r="A15" s="51" t="inlineStr">
        <is>
          <t>R12</t>
        </is>
      </c>
      <c r="B15" s="49" t="n">
        <v>46331</v>
      </c>
      <c r="C15" s="51">
        <f>TEXT(B15,"ddd")</f>
        <v/>
      </c>
      <c r="D15" s="66" t="n">
        <v>0.5416666666666666</v>
      </c>
      <c r="E15" s="66" t="n">
        <v>0.7083333333333334</v>
      </c>
      <c r="F15" s="64">
        <f>IF(AND(ISNUMBER(D15),ISNUMBER(E15)),(E15-D15)*24,"")</f>
        <v/>
      </c>
      <c r="G15" s="51" t="inlineStr">
        <is>
          <t>P06</t>
        </is>
      </c>
      <c r="H15" s="51">
        <f>IF(G15="","",IFERROR(INDEX(Participants!$B$4:$B$15,MATCH(G15,Participants!$A$4:$A$15,0)),"NOT FOUND"))</f>
        <v/>
      </c>
      <c r="I15" s="51" t="inlineStr">
        <is>
          <t>Daily living</t>
        </is>
      </c>
      <c r="J15" s="65" t="n"/>
      <c r="K15" s="51">
        <f>IF(J15="","",IFERROR(INDEX(Staff!$B$4:$B$40,MATCH(J15,Staff!$A$4:$A$40,0)),"NOT FOUND"))</f>
        <v/>
      </c>
      <c r="L15" s="51" t="inlineStr">
        <is>
          <t>Melbourne</t>
        </is>
      </c>
      <c r="M15" s="51" t="inlineStr">
        <is>
          <t>Unfilled</t>
        </is>
      </c>
      <c r="N15" s="51" t="inlineStr">
        <is>
          <t>AEDT</t>
        </is>
      </c>
      <c r="O15" s="67" t="n"/>
    </row>
    <row r="16" ht="15" customHeight="1" s="45">
      <c r="A16" s="51" t="inlineStr">
        <is>
          <t>R13</t>
        </is>
      </c>
      <c r="B16" s="49" t="n">
        <v>46331</v>
      </c>
      <c r="C16" s="51">
        <f>TEXT(B16,"ddd")</f>
        <v/>
      </c>
      <c r="D16" s="66" t="n">
        <v>0.4166666666666667</v>
      </c>
      <c r="E16" s="66" t="n">
        <v>0.4583333333333333</v>
      </c>
      <c r="F16" s="64">
        <f>IF(AND(ISNUMBER(D16),ISNUMBER(E16)),(E16-D16)*24,"")</f>
        <v/>
      </c>
      <c r="G16" s="51" t="inlineStr">
        <is>
          <t>P04</t>
        </is>
      </c>
      <c r="H16" s="51">
        <f>IF(G16="","",IFERROR(INDEX(Participants!$B$4:$B$15,MATCH(G16,Participants!$A$4:$A$15,0)),"NOT FOUND"))</f>
        <v/>
      </c>
      <c r="I16" s="51" t="inlineStr">
        <is>
          <t>Occupational therapy</t>
        </is>
      </c>
      <c r="J16" s="51" t="inlineStr">
        <is>
          <t>A01</t>
        </is>
      </c>
      <c r="K16" s="51">
        <f>IF(J16="","",IFERROR(INDEX(Staff!$B$4:$B$40,MATCH(J16,Staff!$A$4:$A$40,0)),"NOT FOUND"))</f>
        <v/>
      </c>
      <c r="L16" s="51" t="inlineStr">
        <is>
          <t>Melbourne</t>
        </is>
      </c>
      <c r="M16" s="51" t="inlineStr">
        <is>
          <t>Confirmed</t>
        </is>
      </c>
      <c r="N16" s="51" t="inlineStr">
        <is>
          <t>AEDT</t>
        </is>
      </c>
      <c r="O16" s="67" t="n"/>
    </row>
    <row r="17" ht="15" customHeight="1" s="45">
      <c r="A17" s="51" t="inlineStr">
        <is>
          <t>R14</t>
        </is>
      </c>
      <c r="B17" s="49" t="n">
        <v>46331</v>
      </c>
      <c r="C17" s="51">
        <f>TEXT(B17,"ddd")</f>
        <v/>
      </c>
      <c r="D17" s="66" t="n">
        <v>0.375</v>
      </c>
      <c r="E17" s="66" t="n">
        <v>0.5416666666666666</v>
      </c>
      <c r="F17" s="64">
        <f>IF(AND(ISNUMBER(D17),ISNUMBER(E17)),(E17-D17)*24,"")</f>
        <v/>
      </c>
      <c r="G17" s="51" t="inlineStr">
        <is>
          <t>P11</t>
        </is>
      </c>
      <c r="H17" s="51">
        <f>IF(G17="","",IFERROR(INDEX(Participants!$B$4:$B$15,MATCH(G17,Participants!$A$4:$A$15,0)),"NOT FOUND"))</f>
        <v/>
      </c>
      <c r="I17" s="51" t="inlineStr">
        <is>
          <t>Daily living</t>
        </is>
      </c>
      <c r="J17" s="51" t="inlineStr">
        <is>
          <t>W01</t>
        </is>
      </c>
      <c r="K17" s="51">
        <f>IF(J17="","",IFERROR(INDEX(Staff!$B$4:$B$40,MATCH(J17,Staff!$A$4:$A$40,0)),"NOT FOUND"))</f>
        <v/>
      </c>
      <c r="L17" s="51" t="inlineStr">
        <is>
          <t>Melbourne</t>
        </is>
      </c>
      <c r="M17" s="51" t="inlineStr">
        <is>
          <t>Confirmed</t>
        </is>
      </c>
      <c r="N17" s="51" t="inlineStr">
        <is>
          <t>AEDT</t>
        </is>
      </c>
      <c r="O17" s="67" t="n"/>
    </row>
    <row r="18" ht="15" customHeight="1" s="45">
      <c r="A18" s="51" t="inlineStr">
        <is>
          <t>R15</t>
        </is>
      </c>
      <c r="B18" s="49" t="n">
        <v>46331</v>
      </c>
      <c r="C18" s="51">
        <f>TEXT(B18,"ddd")</f>
        <v/>
      </c>
      <c r="D18" s="66" t="n">
        <v>0.375</v>
      </c>
      <c r="E18" s="66" t="n">
        <v>0.5</v>
      </c>
      <c r="F18" s="64">
        <f>IF(AND(ISNUMBER(D18),ISNUMBER(E18)),(E18-D18)*24,"")</f>
        <v/>
      </c>
      <c r="G18" s="51" t="inlineStr">
        <is>
          <t>P05</t>
        </is>
      </c>
      <c r="H18" s="51">
        <f>IF(G18="","",IFERROR(INDEX(Participants!$B$4:$B$15,MATCH(G18,Participants!$A$4:$A$15,0)),"NOT FOUND"))</f>
        <v/>
      </c>
      <c r="I18" s="51" t="inlineStr">
        <is>
          <t>Community participation</t>
        </is>
      </c>
      <c r="J18" s="51" t="inlineStr">
        <is>
          <t>W06</t>
        </is>
      </c>
      <c r="K18" s="51">
        <f>IF(J18="","",IFERROR(INDEX(Staff!$B$4:$B$40,MATCH(J18,Staff!$A$4:$A$40,0)),"NOT FOUND"))</f>
        <v/>
      </c>
      <c r="L18" s="51" t="inlineStr">
        <is>
          <t>Melbourne</t>
        </is>
      </c>
      <c r="M18" s="51" t="inlineStr">
        <is>
          <t>Confirmed</t>
        </is>
      </c>
      <c r="N18" s="51" t="inlineStr">
        <is>
          <t>AEDT</t>
        </is>
      </c>
      <c r="O18" s="67" t="n"/>
    </row>
    <row r="19" ht="15" customHeight="1" s="45">
      <c r="A19" s="51" t="inlineStr">
        <is>
          <t>R16</t>
        </is>
      </c>
      <c r="B19" s="49" t="n">
        <v>46332</v>
      </c>
      <c r="C19" s="51">
        <f>TEXT(B19,"ddd")</f>
        <v/>
      </c>
      <c r="D19" s="66" t="n">
        <v>0.4166666666666667</v>
      </c>
      <c r="E19" s="66" t="n">
        <v>0.5</v>
      </c>
      <c r="F19" s="64">
        <f>IF(AND(ISNUMBER(D19),ISNUMBER(E19)),(E19-D19)*24,"")</f>
        <v/>
      </c>
      <c r="G19" s="51" t="inlineStr">
        <is>
          <t>P04</t>
        </is>
      </c>
      <c r="H19" s="51">
        <f>IF(G19="","",IFERROR(INDEX(Participants!$B$4:$B$15,MATCH(G19,Participants!$A$4:$A$15,0)),"NOT FOUND"))</f>
        <v/>
      </c>
      <c r="I19" s="51" t="inlineStr">
        <is>
          <t>Daily living</t>
        </is>
      </c>
      <c r="J19" s="51" t="inlineStr">
        <is>
          <t>W03</t>
        </is>
      </c>
      <c r="K19" s="51">
        <f>IF(J19="","",IFERROR(INDEX(Staff!$B$4:$B$40,MATCH(J19,Staff!$A$4:$A$40,0)),"NOT FOUND"))</f>
        <v/>
      </c>
      <c r="L19" s="51" t="inlineStr">
        <is>
          <t>Melbourne</t>
        </is>
      </c>
      <c r="M19" s="51" t="inlineStr">
        <is>
          <t>Cancelled</t>
        </is>
      </c>
      <c r="N19" s="51" t="inlineStr">
        <is>
          <t>AEDT</t>
        </is>
      </c>
      <c r="O19" s="68" t="inlineStr">
        <is>
          <t>Participant cancelled at 8:30 am the same day</t>
        </is>
      </c>
    </row>
    <row r="20" ht="15" customHeight="1" s="45">
      <c r="A20" s="51" t="inlineStr">
        <is>
          <t>R17</t>
        </is>
      </c>
      <c r="B20" s="49" t="n">
        <v>46332</v>
      </c>
      <c r="C20" s="51">
        <f>TEXT(B20,"ddd")</f>
        <v/>
      </c>
      <c r="D20" s="66" t="n">
        <v>0.375</v>
      </c>
      <c r="E20" s="66" t="n">
        <v>0.5416666666666666</v>
      </c>
      <c r="F20" s="64">
        <f>IF(AND(ISNUMBER(D20),ISNUMBER(E20)),(E20-D20)*24,"")</f>
        <v/>
      </c>
      <c r="G20" s="51" t="inlineStr">
        <is>
          <t>P08</t>
        </is>
      </c>
      <c r="H20" s="51">
        <f>IF(G20="","",IFERROR(INDEX(Participants!$B$4:$B$15,MATCH(G20,Participants!$A$4:$A$15,0)),"NOT FOUND"))</f>
        <v/>
      </c>
      <c r="I20" s="51" t="inlineStr">
        <is>
          <t>Community access</t>
        </is>
      </c>
      <c r="J20" s="51" t="inlineStr">
        <is>
          <t>W07</t>
        </is>
      </c>
      <c r="K20" s="51">
        <f>IF(J20="","",IFERROR(INDEX(Staff!$B$4:$B$40,MATCH(J20,Staff!$A$4:$A$40,0)),"NOT FOUND"))</f>
        <v/>
      </c>
      <c r="L20" s="51" t="inlineStr">
        <is>
          <t>Gold Coast</t>
        </is>
      </c>
      <c r="M20" s="51" t="inlineStr">
        <is>
          <t>Confirmed</t>
        </is>
      </c>
      <c r="N20" s="51" t="inlineStr">
        <is>
          <t>AEST</t>
        </is>
      </c>
      <c r="O20" s="67" t="n"/>
    </row>
    <row r="21" ht="15" customHeight="1" s="45">
      <c r="A21" s="51" t="inlineStr">
        <is>
          <t>R18</t>
        </is>
      </c>
      <c r="B21" s="49" t="n">
        <v>46332</v>
      </c>
      <c r="C21" s="51">
        <f>TEXT(B21,"ddd")</f>
        <v/>
      </c>
      <c r="D21" s="66" t="n">
        <v>0.4166666666666667</v>
      </c>
      <c r="E21" s="66" t="n">
        <v>0.5</v>
      </c>
      <c r="F21" s="64">
        <f>IF(AND(ISNUMBER(D21),ISNUMBER(E21)),(E21-D21)*24,"")</f>
        <v/>
      </c>
      <c r="G21" s="51" t="inlineStr">
        <is>
          <t>P12</t>
        </is>
      </c>
      <c r="H21" s="51">
        <f>IF(G21="","",IFERROR(INDEX(Participants!$B$4:$B$15,MATCH(G21,Participants!$A$4:$A$15,0)),"NOT FOUND"))</f>
        <v/>
      </c>
      <c r="I21" s="51" t="inlineStr">
        <is>
          <t>Daily living</t>
        </is>
      </c>
      <c r="J21" s="51" t="inlineStr">
        <is>
          <t>W10</t>
        </is>
      </c>
      <c r="K21" s="51">
        <f>IF(J21="","",IFERROR(INDEX(Staff!$B$4:$B$40,MATCH(J21,Staff!$A$4:$A$40,0)),"NOT FOUND"))</f>
        <v/>
      </c>
      <c r="L21" s="51" t="inlineStr">
        <is>
          <t>Melbourne</t>
        </is>
      </c>
      <c r="M21" s="51" t="inlineStr">
        <is>
          <t>Confirmed</t>
        </is>
      </c>
      <c r="N21" s="51" t="inlineStr">
        <is>
          <t>AEDT</t>
        </is>
      </c>
      <c r="O21" s="67" t="n"/>
    </row>
    <row r="22" ht="15" customHeight="1" s="45">
      <c r="A22" s="51" t="inlineStr">
        <is>
          <t>R19</t>
        </is>
      </c>
      <c r="B22" s="49" t="n">
        <v>46332</v>
      </c>
      <c r="C22" s="51">
        <f>TEXT(B22,"ddd")</f>
        <v/>
      </c>
      <c r="D22" s="66" t="n">
        <v>0.375</v>
      </c>
      <c r="E22" s="66" t="n">
        <v>0.4166666666666667</v>
      </c>
      <c r="F22" s="64">
        <f>IF(AND(ISNUMBER(D22),ISNUMBER(E22)),(E22-D22)*24,"")</f>
        <v/>
      </c>
      <c r="G22" s="51" t="inlineStr">
        <is>
          <t>P07</t>
        </is>
      </c>
      <c r="H22" s="51">
        <f>IF(G22="","",IFERROR(INDEX(Participants!$B$4:$B$15,MATCH(G22,Participants!$A$4:$A$15,0)),"NOT FOUND"))</f>
        <v/>
      </c>
      <c r="I22" s="51" t="inlineStr">
        <is>
          <t>Psychology</t>
        </is>
      </c>
      <c r="J22" s="51" t="inlineStr">
        <is>
          <t>A03</t>
        </is>
      </c>
      <c r="K22" s="51">
        <f>IF(J22="","",IFERROR(INDEX(Staff!$B$4:$B$40,MATCH(J22,Staff!$A$4:$A$40,0)),"NOT FOUND"))</f>
        <v/>
      </c>
      <c r="L22" s="51" t="inlineStr">
        <is>
          <t>Melbourne</t>
        </is>
      </c>
      <c r="M22" s="51" t="inlineStr">
        <is>
          <t>Confirmed</t>
        </is>
      </c>
      <c r="N22" s="51" t="inlineStr">
        <is>
          <t>AEDT</t>
        </is>
      </c>
      <c r="O22" s="67" t="n"/>
    </row>
    <row r="23" ht="15" customHeight="1" s="45">
      <c r="A23" s="51" t="inlineStr">
        <is>
          <t>R20</t>
        </is>
      </c>
      <c r="B23" s="49" t="n">
        <v>46333</v>
      </c>
      <c r="C23" s="51">
        <f>TEXT(B23,"ddd")</f>
        <v/>
      </c>
      <c r="D23" s="66" t="n">
        <v>0.375</v>
      </c>
      <c r="E23" s="66" t="n">
        <v>0.5416666666666666</v>
      </c>
      <c r="F23" s="64">
        <f>IF(AND(ISNUMBER(D23),ISNUMBER(E23)),(E23-D23)*24,"")</f>
        <v/>
      </c>
      <c r="G23" s="51" t="inlineStr">
        <is>
          <t>P08</t>
        </is>
      </c>
      <c r="H23" s="51">
        <f>IF(G23="","",IFERROR(INDEX(Participants!$B$4:$B$15,MATCH(G23,Participants!$A$4:$A$15,0)),"NOT FOUND"))</f>
        <v/>
      </c>
      <c r="I23" s="51" t="inlineStr">
        <is>
          <t>Community access</t>
        </is>
      </c>
      <c r="J23" s="51" t="inlineStr">
        <is>
          <t>W07</t>
        </is>
      </c>
      <c r="K23" s="51">
        <f>IF(J23="","",IFERROR(INDEX(Staff!$B$4:$B$40,MATCH(J23,Staff!$A$4:$A$40,0)),"NOT FOUND"))</f>
        <v/>
      </c>
      <c r="L23" s="51" t="inlineStr">
        <is>
          <t>Gold Coast</t>
        </is>
      </c>
      <c r="M23" s="51" t="inlineStr">
        <is>
          <t>Confirmed</t>
        </is>
      </c>
      <c r="N23" s="51" t="inlineStr">
        <is>
          <t>AEDT</t>
        </is>
      </c>
      <c r="O23" s="67" t="n"/>
    </row>
    <row r="24" ht="15" customHeight="1" s="45">
      <c r="A24" s="51" t="inlineStr">
        <is>
          <t>R21</t>
        </is>
      </c>
      <c r="B24" s="49" t="n">
        <v>46333</v>
      </c>
      <c r="C24" s="51">
        <f>TEXT(B24,"ddd")</f>
        <v/>
      </c>
      <c r="D24" s="66" t="n">
        <v>0.375</v>
      </c>
      <c r="E24" s="66" t="n">
        <v>0.5416666666666666</v>
      </c>
      <c r="F24" s="64">
        <f>IF(AND(ISNUMBER(D24),ISNUMBER(E24)),(E24-D24)*24,"")</f>
        <v/>
      </c>
      <c r="G24" s="51" t="inlineStr">
        <is>
          <t>P01</t>
        </is>
      </c>
      <c r="H24" s="51">
        <f>IF(G24="","",IFERROR(INDEX(Participants!$B$4:$B$15,MATCH(G24,Participants!$A$4:$A$15,0)),"NOT FOUND"))</f>
        <v/>
      </c>
      <c r="I24" s="51" t="inlineStr">
        <is>
          <t>Community access</t>
        </is>
      </c>
      <c r="J24" s="51" t="inlineStr">
        <is>
          <t>W09</t>
        </is>
      </c>
      <c r="K24" s="51">
        <f>IF(J24="","",IFERROR(INDEX(Staff!$B$4:$B$40,MATCH(J24,Staff!$A$4:$A$40,0)),"NOT FOUND"))</f>
        <v/>
      </c>
      <c r="L24" s="51" t="inlineStr">
        <is>
          <t>Melbourne</t>
        </is>
      </c>
      <c r="M24" s="51" t="inlineStr">
        <is>
          <t>Confirmed</t>
        </is>
      </c>
      <c r="N24" s="51" t="inlineStr">
        <is>
          <t>AEDT</t>
        </is>
      </c>
      <c r="O24" s="67" t="n"/>
    </row>
    <row r="25" ht="15" customHeight="1" s="45">
      <c r="A25" s="51" t="inlineStr">
        <is>
          <t>R22</t>
        </is>
      </c>
      <c r="B25" s="49" t="n">
        <v>46333</v>
      </c>
      <c r="C25" s="51">
        <f>TEXT(B25,"ddd")</f>
        <v/>
      </c>
      <c r="D25" s="66" t="n">
        <v>0.4166666666666667</v>
      </c>
      <c r="E25" s="66" t="n">
        <v>0.5833333333333334</v>
      </c>
      <c r="F25" s="64">
        <f>IF(AND(ISNUMBER(D25),ISNUMBER(E25)),(E25-D25)*24,"")</f>
        <v/>
      </c>
      <c r="G25" s="51" t="inlineStr">
        <is>
          <t>P11</t>
        </is>
      </c>
      <c r="H25" s="51">
        <f>IF(G25="","",IFERROR(INDEX(Participants!$B$4:$B$15,MATCH(G25,Participants!$A$4:$A$15,0)),"NOT FOUND"))</f>
        <v/>
      </c>
      <c r="I25" s="51" t="inlineStr">
        <is>
          <t>Daily living</t>
        </is>
      </c>
      <c r="J25" s="51" t="inlineStr">
        <is>
          <t>W11</t>
        </is>
      </c>
      <c r="K25" s="51">
        <f>IF(J25="","",IFERROR(INDEX(Staff!$B$4:$B$40,MATCH(J25,Staff!$A$4:$A$40,0)),"NOT FOUND"))</f>
        <v/>
      </c>
      <c r="L25" s="51" t="inlineStr">
        <is>
          <t>Melbourne</t>
        </is>
      </c>
      <c r="M25" s="51" t="inlineStr">
        <is>
          <t>Confirmed</t>
        </is>
      </c>
      <c r="N25" s="51" t="inlineStr">
        <is>
          <t>AEDT</t>
        </is>
      </c>
      <c r="O25" s="67" t="n"/>
    </row>
    <row r="26" ht="15" customHeight="1" s="45">
      <c r="A26" s="51" t="inlineStr">
        <is>
          <t>R23</t>
        </is>
      </c>
      <c r="B26" s="49" t="n">
        <v>46334</v>
      </c>
      <c r="C26" s="51">
        <f>TEXT(B26,"ddd")</f>
        <v/>
      </c>
      <c r="D26" s="66" t="n">
        <v>0.4166666666666667</v>
      </c>
      <c r="E26" s="66" t="n">
        <v>0.5833333333333334</v>
      </c>
      <c r="F26" s="64">
        <f>IF(AND(ISNUMBER(D26),ISNUMBER(E26)),(E26-D26)*24,"")</f>
        <v/>
      </c>
      <c r="G26" s="51" t="inlineStr">
        <is>
          <t>P12</t>
        </is>
      </c>
      <c r="H26" s="51">
        <f>IF(G26="","",IFERROR(INDEX(Participants!$B$4:$B$15,MATCH(G26,Participants!$A$4:$A$15,0)),"NOT FOUND"))</f>
        <v/>
      </c>
      <c r="I26" s="51" t="inlineStr">
        <is>
          <t>Daily living</t>
        </is>
      </c>
      <c r="J26" s="51" t="inlineStr">
        <is>
          <t>W09</t>
        </is>
      </c>
      <c r="K26" s="51">
        <f>IF(J26="","",IFERROR(INDEX(Staff!$B$4:$B$40,MATCH(J26,Staff!$A$4:$A$40,0)),"NOT FOUND"))</f>
        <v/>
      </c>
      <c r="L26" s="51" t="inlineStr">
        <is>
          <t>Melbourne</t>
        </is>
      </c>
      <c r="M26" s="51" t="inlineStr">
        <is>
          <t>Confirmed</t>
        </is>
      </c>
      <c r="N26" s="51" t="inlineStr">
        <is>
          <t>AEDT</t>
        </is>
      </c>
      <c r="O26" s="67" t="n"/>
    </row>
    <row r="27" ht="15" customHeight="1" s="45">
      <c r="A27" s="51" t="inlineStr">
        <is>
          <t>R24</t>
        </is>
      </c>
      <c r="B27" s="49" t="n">
        <v>46334</v>
      </c>
      <c r="C27" s="51">
        <f>TEXT(B27,"ddd")</f>
        <v/>
      </c>
      <c r="D27" s="66" t="n">
        <v>0.375</v>
      </c>
      <c r="E27" s="66" t="n">
        <v>0.5416666666666666</v>
      </c>
      <c r="F27" s="64">
        <f>IF(AND(ISNUMBER(D27),ISNUMBER(E27)),(E27-D27)*24,"")</f>
        <v/>
      </c>
      <c r="G27" s="51" t="inlineStr">
        <is>
          <t>P06</t>
        </is>
      </c>
      <c r="H27" s="51">
        <f>IF(G27="","",IFERROR(INDEX(Participants!$B$4:$B$15,MATCH(G27,Participants!$A$4:$A$15,0)),"NOT FOUND"))</f>
        <v/>
      </c>
      <c r="I27" s="51" t="inlineStr">
        <is>
          <t>Daily living</t>
        </is>
      </c>
      <c r="J27" s="51" t="inlineStr">
        <is>
          <t>W12</t>
        </is>
      </c>
      <c r="K27" s="51">
        <f>IF(J27="","",IFERROR(INDEX(Staff!$B$4:$B$40,MATCH(J27,Staff!$A$4:$A$40,0)),"NOT FOUND"))</f>
        <v/>
      </c>
      <c r="L27" s="51" t="inlineStr">
        <is>
          <t>Melbourne</t>
        </is>
      </c>
      <c r="M27" s="51" t="inlineStr">
        <is>
          <t>Confirmed</t>
        </is>
      </c>
      <c r="N27" s="51" t="inlineStr">
        <is>
          <t>AEDT</t>
        </is>
      </c>
      <c r="O27" s="67" t="n"/>
    </row>
    <row r="28" ht="15" customHeight="1" s="45">
      <c r="A28" s="51" t="inlineStr">
        <is>
          <t>R25</t>
        </is>
      </c>
      <c r="B28" s="49" t="n">
        <v>46334</v>
      </c>
      <c r="C28" s="51">
        <f>TEXT(B28,"ddd")</f>
        <v/>
      </c>
      <c r="D28" s="66" t="n">
        <v>0.4583333333333333</v>
      </c>
      <c r="E28" s="66" t="n">
        <v>0.5416666666666666</v>
      </c>
      <c r="F28" s="64">
        <f>IF(AND(ISNUMBER(D28),ISNUMBER(E28)),(E28-D28)*24,"")</f>
        <v/>
      </c>
      <c r="G28" s="51" t="inlineStr">
        <is>
          <t>P02</t>
        </is>
      </c>
      <c r="H28" s="51">
        <f>IF(G28="","",IFERROR(INDEX(Participants!$B$4:$B$15,MATCH(G28,Participants!$A$4:$A$15,0)),"NOT FOUND"))</f>
        <v/>
      </c>
      <c r="I28" s="51" t="inlineStr">
        <is>
          <t>Community access</t>
        </is>
      </c>
      <c r="J28" s="51" t="inlineStr">
        <is>
          <t>W02</t>
        </is>
      </c>
      <c r="K28" s="51">
        <f>IF(J28="","",IFERROR(INDEX(Staff!$B$4:$B$40,MATCH(J28,Staff!$A$4:$A$40,0)),"NOT FOUND"))</f>
        <v/>
      </c>
      <c r="L28" s="51" t="inlineStr">
        <is>
          <t>Melbourne</t>
        </is>
      </c>
      <c r="M28" s="51" t="inlineStr">
        <is>
          <t>Confirmed</t>
        </is>
      </c>
      <c r="N28" s="51" t="inlineStr">
        <is>
          <t>AEDT</t>
        </is>
      </c>
      <c r="O28" s="67" t="n"/>
    </row>
    <row r="29" ht="15" customHeight="1" s="45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7" t="n"/>
    </row>
    <row r="30" ht="15" customHeight="1" s="45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7" t="n"/>
    </row>
    <row r="31" ht="15" customHeight="1" s="45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7" t="n"/>
    </row>
    <row r="32" ht="15" customHeight="1" s="45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7" t="n"/>
    </row>
    <row r="33" ht="15" customHeight="1" s="45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7" t="n"/>
    </row>
  </sheetData>
  <dataValidations count="1">
    <dataValidation sqref="M4:M60" showDropDown="0" showInputMessage="0" showErrorMessage="0" allowBlank="1" type="list" errorStyle="stop" operator="between">
      <formula1>"Confirmed,Cancelled,Unfilled"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41" customWidth="1" style="44" min="2" max="2"/>
    <col width="19" customWidth="1" style="44" min="3" max="3"/>
    <col width="28" customWidth="1" style="44" min="4" max="4"/>
    <col width="10" customWidth="1" style="44" min="5" max="5"/>
    <col width="30" customWidth="1" style="44" min="6" max="6"/>
    <col width="21" customWidth="1" style="44" min="7" max="7"/>
  </cols>
  <sheetData>
    <row r="1" ht="17.25" customHeight="1" s="45">
      <c r="A1" s="58" t="inlineStr">
        <is>
          <t>Price table (FICTIONAL, invented prices)</t>
        </is>
      </c>
    </row>
    <row r="2" ht="15" customHeight="1" s="45">
      <c r="A2" s="59" t="inlineStr">
        <is>
          <t>These prices and codes are invented for practice. They are NOT real NDIS prices or item numbers. Real pricing changes, so learn where to check it (Module 8).</t>
        </is>
      </c>
    </row>
    <row r="3" ht="33.75" customHeight="1" s="45">
      <c r="A3" s="60" t="inlineStr">
        <is>
          <t>Item code</t>
        </is>
      </c>
      <c r="B3" s="60" t="inlineStr">
        <is>
          <t>Description</t>
        </is>
      </c>
      <c r="C3" s="60" t="inlineStr">
        <is>
          <t>Support budget</t>
        </is>
      </c>
      <c r="D3" s="60" t="inlineStr">
        <is>
          <t>Category (fictional label)</t>
        </is>
      </c>
      <c r="E3" s="60" t="inlineStr">
        <is>
          <t>Unit</t>
        </is>
      </c>
      <c r="F3" s="60" t="inlineStr">
        <is>
          <t>Price limit (AUD, fictional)</t>
        </is>
      </c>
      <c r="G3" s="60" t="inlineStr">
        <is>
          <t>Effective from</t>
        </is>
      </c>
    </row>
    <row r="4" ht="15" customHeight="1" s="45">
      <c r="A4" s="51" t="inlineStr">
        <is>
          <t>FX-DL-WD</t>
        </is>
      </c>
      <c r="B4" s="51" t="inlineStr">
        <is>
          <t>Daily living support - weekday daytime</t>
        </is>
      </c>
      <c r="C4" s="51" t="inlineStr">
        <is>
          <t>Core</t>
        </is>
      </c>
      <c r="D4" s="51" t="inlineStr">
        <is>
          <t>Daily life</t>
        </is>
      </c>
      <c r="E4" s="51" t="inlineStr">
        <is>
          <t>hour</t>
        </is>
      </c>
      <c r="F4" s="69" t="n">
        <v>60</v>
      </c>
      <c r="G4" s="49" t="n">
        <v>46204</v>
      </c>
    </row>
    <row r="5" ht="15" customHeight="1" s="45">
      <c r="A5" s="51" t="inlineStr">
        <is>
          <t>FX-DL-WE</t>
        </is>
      </c>
      <c r="B5" s="51" t="inlineStr">
        <is>
          <t>Daily living support - weekday evening</t>
        </is>
      </c>
      <c r="C5" s="51" t="inlineStr">
        <is>
          <t>Core</t>
        </is>
      </c>
      <c r="D5" s="51" t="inlineStr">
        <is>
          <t>Daily life</t>
        </is>
      </c>
      <c r="E5" s="51" t="inlineStr">
        <is>
          <t>hour</t>
        </is>
      </c>
      <c r="F5" s="69" t="n">
        <v>66</v>
      </c>
      <c r="G5" s="49" t="n">
        <v>46204</v>
      </c>
    </row>
    <row r="6" ht="15" customHeight="1" s="45">
      <c r="A6" s="51" t="inlineStr">
        <is>
          <t>FX-DL-SA</t>
        </is>
      </c>
      <c r="B6" s="51" t="inlineStr">
        <is>
          <t>Daily living support - Saturday</t>
        </is>
      </c>
      <c r="C6" s="51" t="inlineStr">
        <is>
          <t>Core</t>
        </is>
      </c>
      <c r="D6" s="51" t="inlineStr">
        <is>
          <t>Daily life</t>
        </is>
      </c>
      <c r="E6" s="51" t="inlineStr">
        <is>
          <t>hour</t>
        </is>
      </c>
      <c r="F6" s="69" t="n">
        <v>84</v>
      </c>
      <c r="G6" s="49" t="n">
        <v>46204</v>
      </c>
    </row>
    <row r="7" ht="15" customHeight="1" s="45">
      <c r="A7" s="51" t="inlineStr">
        <is>
          <t>FX-DL-SU</t>
        </is>
      </c>
      <c r="B7" s="51" t="inlineStr">
        <is>
          <t>Daily living support - Sunday</t>
        </is>
      </c>
      <c r="C7" s="51" t="inlineStr">
        <is>
          <t>Core</t>
        </is>
      </c>
      <c r="D7" s="51" t="inlineStr">
        <is>
          <t>Daily life</t>
        </is>
      </c>
      <c r="E7" s="51" t="inlineStr">
        <is>
          <t>hour</t>
        </is>
      </c>
      <c r="F7" s="69" t="n">
        <v>108</v>
      </c>
      <c r="G7" s="49" t="n">
        <v>46204</v>
      </c>
    </row>
    <row r="8" ht="15" customHeight="1" s="45">
      <c r="A8" s="51" t="inlineStr">
        <is>
          <t>FX-DL-PH</t>
        </is>
      </c>
      <c r="B8" s="51" t="inlineStr">
        <is>
          <t>Daily living support - public holiday</t>
        </is>
      </c>
      <c r="C8" s="51" t="inlineStr">
        <is>
          <t>Core</t>
        </is>
      </c>
      <c r="D8" s="51" t="inlineStr">
        <is>
          <t>Daily life</t>
        </is>
      </c>
      <c r="E8" s="51" t="inlineStr">
        <is>
          <t>hour</t>
        </is>
      </c>
      <c r="F8" s="69" t="n">
        <v>132</v>
      </c>
      <c r="G8" s="49" t="n">
        <v>46204</v>
      </c>
    </row>
    <row r="9" ht="15" customHeight="1" s="45">
      <c r="A9" s="51" t="inlineStr">
        <is>
          <t>FX-CA-WD</t>
        </is>
      </c>
      <c r="B9" s="51" t="inlineStr">
        <is>
          <t>Community access - weekday daytime</t>
        </is>
      </c>
      <c r="C9" s="51" t="inlineStr">
        <is>
          <t>Core</t>
        </is>
      </c>
      <c r="D9" s="51" t="inlineStr">
        <is>
          <t>Community</t>
        </is>
      </c>
      <c r="E9" s="51" t="inlineStr">
        <is>
          <t>hour</t>
        </is>
      </c>
      <c r="F9" s="69" t="n">
        <v>62</v>
      </c>
      <c r="G9" s="49" t="n">
        <v>46204</v>
      </c>
    </row>
    <row r="10" ht="15" customHeight="1" s="45">
      <c r="A10" s="51" t="inlineStr">
        <is>
          <t>FX-CA-SA</t>
        </is>
      </c>
      <c r="B10" s="51" t="inlineStr">
        <is>
          <t>Community access - Saturday</t>
        </is>
      </c>
      <c r="C10" s="51" t="inlineStr">
        <is>
          <t>Core</t>
        </is>
      </c>
      <c r="D10" s="51" t="inlineStr">
        <is>
          <t>Community</t>
        </is>
      </c>
      <c r="E10" s="51" t="inlineStr">
        <is>
          <t>hour</t>
        </is>
      </c>
      <c r="F10" s="69" t="n">
        <v>87</v>
      </c>
      <c r="G10" s="49" t="n">
        <v>46204</v>
      </c>
    </row>
    <row r="11" ht="15" customHeight="1" s="45">
      <c r="A11" s="51" t="inlineStr">
        <is>
          <t>FX-SC-01</t>
        </is>
      </c>
      <c r="B11" s="51" t="inlineStr">
        <is>
          <t>Support coordination - standard</t>
        </is>
      </c>
      <c r="C11" s="51" t="inlineStr">
        <is>
          <t>Capacity Building</t>
        </is>
      </c>
      <c r="D11" s="51" t="inlineStr">
        <is>
          <t>Coordination</t>
        </is>
      </c>
      <c r="E11" s="51" t="inlineStr">
        <is>
          <t>hour</t>
        </is>
      </c>
      <c r="F11" s="69" t="n">
        <v>100</v>
      </c>
      <c r="G11" s="49" t="n">
        <v>46204</v>
      </c>
    </row>
    <row r="12" ht="15" customHeight="1" s="45">
      <c r="A12" s="51" t="inlineStr">
        <is>
          <t>FX-PM-SU</t>
        </is>
      </c>
      <c r="B12" s="51" t="inlineStr">
        <is>
          <t>Plan management - set-up</t>
        </is>
      </c>
      <c r="C12" s="51" t="inlineStr">
        <is>
          <t>Capacity Building</t>
        </is>
      </c>
      <c r="D12" s="51" t="inlineStr">
        <is>
          <t>Plan management</t>
        </is>
      </c>
      <c r="E12" s="51" t="inlineStr">
        <is>
          <t>each</t>
        </is>
      </c>
      <c r="F12" s="69" t="n">
        <v>200</v>
      </c>
      <c r="G12" s="49" t="n">
        <v>46204</v>
      </c>
    </row>
    <row r="13" ht="15" customHeight="1" s="45">
      <c r="A13" s="51" t="inlineStr">
        <is>
          <t>FX-PM-MO</t>
        </is>
      </c>
      <c r="B13" s="51" t="inlineStr">
        <is>
          <t>Plan management - monthly</t>
        </is>
      </c>
      <c r="C13" s="51" t="inlineStr">
        <is>
          <t>Capacity Building</t>
        </is>
      </c>
      <c r="D13" s="51" t="inlineStr">
        <is>
          <t>Plan management</t>
        </is>
      </c>
      <c r="E13" s="51" t="inlineStr">
        <is>
          <t>month</t>
        </is>
      </c>
      <c r="F13" s="69" t="n">
        <v>60</v>
      </c>
      <c r="G13" s="49" t="n">
        <v>46204</v>
      </c>
    </row>
    <row r="14" ht="15" customHeight="1" s="45">
      <c r="A14" s="51" t="inlineStr">
        <is>
          <t>FX-OT-01</t>
        </is>
      </c>
      <c r="B14" s="51" t="inlineStr">
        <is>
          <t>Occupational therapy - standard session</t>
        </is>
      </c>
      <c r="C14" s="51" t="inlineStr">
        <is>
          <t>Capacity Building</t>
        </is>
      </c>
      <c r="D14" s="51" t="inlineStr">
        <is>
          <t>Therapy</t>
        </is>
      </c>
      <c r="E14" s="51" t="inlineStr">
        <is>
          <t>hour</t>
        </is>
      </c>
      <c r="F14" s="69" t="n">
        <v>190</v>
      </c>
      <c r="G14" s="49" t="n">
        <v>46204</v>
      </c>
    </row>
    <row r="15" ht="15" customHeight="1" s="45">
      <c r="A15" s="51" t="inlineStr">
        <is>
          <t>FX-PT-01</t>
        </is>
      </c>
      <c r="B15" s="51" t="inlineStr">
        <is>
          <t>Physiotherapy - standard session</t>
        </is>
      </c>
      <c r="C15" s="51" t="inlineStr">
        <is>
          <t>Capacity Building</t>
        </is>
      </c>
      <c r="D15" s="51" t="inlineStr">
        <is>
          <t>Therapy</t>
        </is>
      </c>
      <c r="E15" s="51" t="inlineStr">
        <is>
          <t>hour</t>
        </is>
      </c>
      <c r="F15" s="69" t="n">
        <v>175</v>
      </c>
      <c r="G15" s="49" t="n">
        <v>46204</v>
      </c>
    </row>
    <row r="16" ht="15" customHeight="1" s="45">
      <c r="A16" s="51" t="inlineStr">
        <is>
          <t>FX-PS-01</t>
        </is>
      </c>
      <c r="B16" s="51" t="inlineStr">
        <is>
          <t>Psychology - standard session</t>
        </is>
      </c>
      <c r="C16" s="51" t="inlineStr">
        <is>
          <t>Capacity Building</t>
        </is>
      </c>
      <c r="D16" s="51" t="inlineStr">
        <is>
          <t>Therapy</t>
        </is>
      </c>
      <c r="E16" s="51" t="inlineStr">
        <is>
          <t>hour</t>
        </is>
      </c>
      <c r="F16" s="69" t="n">
        <v>220</v>
      </c>
      <c r="G16" s="49" t="n">
        <v>46204</v>
      </c>
    </row>
    <row r="17" ht="15" customHeight="1" s="45">
      <c r="A17" s="51" t="inlineStr">
        <is>
          <t>FX-TR-KM</t>
        </is>
      </c>
      <c r="B17" s="51" t="inlineStr">
        <is>
          <t>Provider travel - per kilometre</t>
        </is>
      </c>
      <c r="C17" s="51" t="inlineStr">
        <is>
          <t>Core</t>
        </is>
      </c>
      <c r="D17" s="51" t="inlineStr">
        <is>
          <t>Travel</t>
        </is>
      </c>
      <c r="E17" s="51" t="inlineStr">
        <is>
          <t>km</t>
        </is>
      </c>
      <c r="F17" s="69" t="n">
        <v>1</v>
      </c>
      <c r="G17" s="49" t="n">
        <v>46204</v>
      </c>
    </row>
    <row r="18" ht="15" customHeight="1" s="45">
      <c r="A18" s="67" t="n"/>
      <c r="B18" s="67" t="n"/>
      <c r="C18" s="67" t="n"/>
      <c r="D18" s="67" t="n"/>
      <c r="E18" s="67" t="n"/>
      <c r="F18" s="67" t="n"/>
      <c r="G18" s="67" t="n"/>
    </row>
    <row r="19" ht="15" customHeight="1" s="45">
      <c r="A19" s="67" t="n"/>
      <c r="B19" s="67" t="n"/>
      <c r="C19" s="67" t="n"/>
      <c r="D19" s="67" t="n"/>
      <c r="E19" s="67" t="n"/>
      <c r="F19" s="67" t="n"/>
      <c r="G19" s="67" t="n"/>
    </row>
    <row r="20" ht="15" customHeight="1" s="45">
      <c r="A20" s="67" t="n"/>
      <c r="B20" s="67" t="n"/>
      <c r="C20" s="67" t="n"/>
      <c r="D20" s="67" t="n"/>
      <c r="E20" s="67" t="n"/>
      <c r="F20" s="67" t="n"/>
      <c r="G20" s="67" t="n"/>
    </row>
    <row r="21" ht="15" customHeight="1" s="45">
      <c r="A21" s="67" t="n"/>
      <c r="B21" s="67" t="n"/>
      <c r="C21" s="67" t="n"/>
      <c r="D21" s="67" t="n"/>
      <c r="E21" s="67" t="n"/>
      <c r="F21" s="67" t="n"/>
      <c r="G21" s="67" t="n"/>
    </row>
    <row r="22" ht="15" customHeight="1" s="45">
      <c r="A22" s="67" t="n"/>
      <c r="B22" s="67" t="n"/>
      <c r="C22" s="67" t="n"/>
      <c r="D22" s="67" t="n"/>
      <c r="E22" s="67" t="n"/>
      <c r="F22" s="67" t="n"/>
      <c r="G22" s="67" t="n"/>
    </row>
    <row r="23" ht="15" customHeight="1" s="45">
      <c r="A23" s="67" t="n"/>
      <c r="B23" s="67" t="n"/>
      <c r="C23" s="67" t="n"/>
      <c r="D23" s="67" t="n"/>
      <c r="E23" s="67" t="n"/>
      <c r="F23" s="67" t="n"/>
      <c r="G23" s="67" t="n"/>
    </row>
    <row r="24" ht="15" customHeight="1" s="45">
      <c r="A24" s="50" t="inlineStr">
        <is>
          <t>Yellow rows: add new price versions here (see the pricing update email). Keep old prices for older dates.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6" customWidth="1" style="44" min="3" max="3"/>
    <col width="42" customWidth="1" style="44" min="4" max="5"/>
    <col width="11" customWidth="1" style="44" min="6" max="6"/>
    <col width="42" customWidth="1" style="44" min="7" max="7"/>
    <col width="10" customWidth="1" style="44" min="8" max="8"/>
    <col width="42" customWidth="1" style="44" min="9" max="9"/>
    <col width="14" customWidth="1" style="44" min="10" max="10"/>
    <col width="42" customWidth="1" style="44" min="11" max="13"/>
    <col width="11" customWidth="1" style="44" min="14" max="14"/>
  </cols>
  <sheetData>
    <row r="1" ht="17.25" customHeight="1" s="45">
      <c r="A1" s="58" t="inlineStr">
        <is>
          <t>Invoice batch to check (fictional)</t>
        </is>
      </c>
    </row>
    <row r="2" ht="15" customHeight="1" s="45">
      <c r="A2" s="59" t="inlineStr">
        <is>
          <t>Learner task: check identity/onboarding, date/day type, item, qty, fictional rate/reference, management type, duplicates, service-delivery evidence and route-to. Then classify and explain.</t>
        </is>
      </c>
      <c r="B2" s="44" t="inlineStr">
        <is>
          <t>Decide: OK, Flag, Ask, or Escalate. Do not independently approve/reject/submit/dispute.</t>
        </is>
      </c>
    </row>
    <row r="3" ht="33.75" customHeight="1" s="45">
      <c r="A3" s="60" t="inlineStr">
        <is>
          <t>Invoice #</t>
        </is>
      </c>
      <c r="B3" s="60" t="inlineStr">
        <is>
          <t>Service date</t>
        </is>
      </c>
      <c r="C3" s="60" t="inlineStr">
        <is>
          <t>Participant ID</t>
        </is>
      </c>
      <c r="D3" s="60" t="inlineStr">
        <is>
          <t>Participant name</t>
        </is>
      </c>
      <c r="E3" s="60" t="inlineStr">
        <is>
          <t>Plan management</t>
        </is>
      </c>
      <c r="F3" s="60" t="inlineStr">
        <is>
          <t>Item code</t>
        </is>
      </c>
      <c r="G3" s="60" t="inlineStr">
        <is>
          <t>Item description</t>
        </is>
      </c>
      <c r="H3" s="60" t="inlineStr">
        <is>
          <t>Qty</t>
        </is>
      </c>
      <c r="I3" s="60" t="inlineStr">
        <is>
          <t>Unit</t>
        </is>
      </c>
      <c r="J3" s="60" t="inlineStr">
        <is>
          <t>Rate charged</t>
        </is>
      </c>
      <c r="K3" s="60" t="inlineStr">
        <is>
          <t>Price limit (fictional)</t>
        </is>
      </c>
      <c r="L3" s="60" t="inlineStr">
        <is>
          <t>Line total</t>
        </is>
      </c>
      <c r="M3" s="60" t="inlineStr">
        <is>
          <t>Your check</t>
        </is>
      </c>
      <c r="N3" s="60" t="inlineStr">
        <is>
          <t>Your note</t>
        </is>
      </c>
    </row>
    <row r="4" ht="15" customHeight="1" s="45">
      <c r="A4" s="51" t="inlineStr">
        <is>
          <t>INV-1001</t>
        </is>
      </c>
      <c r="B4" s="49" t="n">
        <v>46321</v>
      </c>
      <c r="C4" s="51" t="inlineStr">
        <is>
          <t>P01</t>
        </is>
      </c>
      <c r="D4" s="51">
        <f>IFERROR(INDEX(Participants!$B$4:$B$15,MATCH(C4,Participants!$A$4:$A$15,0)),"NOT FOUND")</f>
        <v/>
      </c>
      <c r="E4" s="51">
        <f>IFERROR(INDEX(Participants!$D$4:$D$15,MATCH(C4,Participants!$A$4:$A$15,0)),"NOT FOUND")</f>
        <v/>
      </c>
      <c r="F4" s="51" t="inlineStr">
        <is>
          <t>FX-CA-WD</t>
        </is>
      </c>
      <c r="G4" s="51">
        <f>IFERROR(INDEX(Price_Table!$B$4:$B$40,MATCH(F4,Price_Table!$A$4:$A$40,0)),"NOT FOUND")</f>
        <v/>
      </c>
      <c r="H4" s="64" t="n">
        <v>2</v>
      </c>
      <c r="I4" s="51">
        <f>IFERROR(INDEX(Price_Table!$E$4:$E$40,MATCH(F4,Price_Table!$A$4:$A$40,0)),"")</f>
        <v/>
      </c>
      <c r="J4" s="69" t="n">
        <v>62</v>
      </c>
      <c r="K4" s="69">
        <f>IFERROR(INDEX(Price_Table!$F$4:$F$40,MATCH(F4,Price_Table!$A$4:$A$40,0)),"")</f>
        <v/>
      </c>
      <c r="L4" s="69">
        <f>IF(AND(ISNUMBER(H4),ISNUMBER(J4)),H4*J4,"")</f>
        <v/>
      </c>
      <c r="M4" s="67" t="n"/>
      <c r="N4" s="67" t="n"/>
    </row>
    <row r="5" ht="15" customHeight="1" s="45">
      <c r="A5" s="51" t="inlineStr">
        <is>
          <t>INV-1002</t>
        </is>
      </c>
      <c r="B5" s="49" t="n">
        <v>46321</v>
      </c>
      <c r="C5" s="51" t="inlineStr">
        <is>
          <t>P04</t>
        </is>
      </c>
      <c r="D5" s="51">
        <f>IFERROR(INDEX(Participants!$B$4:$B$15,MATCH(C5,Participants!$A$4:$A$15,0)),"NOT FOUND")</f>
        <v/>
      </c>
      <c r="E5" s="51">
        <f>IFERROR(INDEX(Participants!$D$4:$D$15,MATCH(C5,Participants!$A$4:$A$15,0)),"NOT FOUND")</f>
        <v/>
      </c>
      <c r="F5" s="51" t="inlineStr">
        <is>
          <t>FX-DL-WD</t>
        </is>
      </c>
      <c r="G5" s="51">
        <f>IFERROR(INDEX(Price_Table!$B$4:$B$40,MATCH(F5,Price_Table!$A$4:$A$40,0)),"NOT FOUND")</f>
        <v/>
      </c>
      <c r="H5" s="64" t="n">
        <v>4</v>
      </c>
      <c r="I5" s="51">
        <f>IFERROR(INDEX(Price_Table!$E$4:$E$40,MATCH(F5,Price_Table!$A$4:$A$40,0)),"")</f>
        <v/>
      </c>
      <c r="J5" s="69" t="n">
        <v>60</v>
      </c>
      <c r="K5" s="69">
        <f>IFERROR(INDEX(Price_Table!$F$4:$F$40,MATCH(F5,Price_Table!$A$4:$A$40,0)),"")</f>
        <v/>
      </c>
      <c r="L5" s="69">
        <f>IF(AND(ISNUMBER(H5),ISNUMBER(J5)),H5*J5,"")</f>
        <v/>
      </c>
      <c r="M5" s="67" t="n"/>
      <c r="N5" s="67" t="n"/>
    </row>
    <row r="6" ht="15" customHeight="1" s="45">
      <c r="A6" s="51" t="inlineStr">
        <is>
          <t>INV-1003</t>
        </is>
      </c>
      <c r="B6" s="49" t="n">
        <v>46322</v>
      </c>
      <c r="C6" s="51" t="inlineStr">
        <is>
          <t>P06</t>
        </is>
      </c>
      <c r="D6" s="51">
        <f>IFERROR(INDEX(Participants!$B$4:$B$15,MATCH(C6,Participants!$A$4:$A$15,0)),"NOT FOUND")</f>
        <v/>
      </c>
      <c r="E6" s="51">
        <f>IFERROR(INDEX(Participants!$D$4:$D$15,MATCH(C6,Participants!$A$4:$A$15,0)),"NOT FOUND")</f>
        <v/>
      </c>
      <c r="F6" s="51" t="inlineStr">
        <is>
          <t>FX-DL-WD</t>
        </is>
      </c>
      <c r="G6" s="51">
        <f>IFERROR(INDEX(Price_Table!$B$4:$B$40,MATCH(F6,Price_Table!$A$4:$A$40,0)),"NOT FOUND")</f>
        <v/>
      </c>
      <c r="H6" s="64" t="n">
        <v>4</v>
      </c>
      <c r="I6" s="51">
        <f>IFERROR(INDEX(Price_Table!$E$4:$E$40,MATCH(F6,Price_Table!$A$4:$A$40,0)),"")</f>
        <v/>
      </c>
      <c r="J6" s="69" t="n">
        <v>60</v>
      </c>
      <c r="K6" s="69">
        <f>IFERROR(INDEX(Price_Table!$F$4:$F$40,MATCH(F6,Price_Table!$A$4:$A$40,0)),"")</f>
        <v/>
      </c>
      <c r="L6" s="69">
        <f>IF(AND(ISNUMBER(H6),ISNUMBER(J6)),H6*J6,"")</f>
        <v/>
      </c>
      <c r="M6" s="67" t="n"/>
      <c r="N6" s="67" t="n"/>
    </row>
    <row r="7" ht="15" customHeight="1" s="45">
      <c r="A7" s="51" t="inlineStr">
        <is>
          <t>INV-1004</t>
        </is>
      </c>
      <c r="B7" s="49" t="n">
        <v>46321</v>
      </c>
      <c r="C7" s="51" t="inlineStr">
        <is>
          <t>P01</t>
        </is>
      </c>
      <c r="D7" s="51">
        <f>IFERROR(INDEX(Participants!$B$4:$B$15,MATCH(C7,Participants!$A$4:$A$15,0)),"NOT FOUND")</f>
        <v/>
      </c>
      <c r="E7" s="51">
        <f>IFERROR(INDEX(Participants!$D$4:$D$15,MATCH(C7,Participants!$A$4:$A$15,0)),"NOT FOUND")</f>
        <v/>
      </c>
      <c r="F7" s="51" t="inlineStr">
        <is>
          <t>FX-CA-WD</t>
        </is>
      </c>
      <c r="G7" s="51">
        <f>IFERROR(INDEX(Price_Table!$B$4:$B$40,MATCH(F7,Price_Table!$A$4:$A$40,0)),"NOT FOUND")</f>
        <v/>
      </c>
      <c r="H7" s="64" t="n">
        <v>2</v>
      </c>
      <c r="I7" s="51">
        <f>IFERROR(INDEX(Price_Table!$E$4:$E$40,MATCH(F7,Price_Table!$A$4:$A$40,0)),"")</f>
        <v/>
      </c>
      <c r="J7" s="69" t="n">
        <v>62</v>
      </c>
      <c r="K7" s="69">
        <f>IFERROR(INDEX(Price_Table!$F$4:$F$40,MATCH(F7,Price_Table!$A$4:$A$40,0)),"")</f>
        <v/>
      </c>
      <c r="L7" s="69">
        <f>IF(AND(ISNUMBER(H7),ISNUMBER(J7)),H7*J7,"")</f>
        <v/>
      </c>
      <c r="M7" s="67" t="n"/>
      <c r="N7" s="67" t="n"/>
    </row>
    <row r="8" ht="15" customHeight="1" s="45">
      <c r="A8" s="51" t="inlineStr">
        <is>
          <t>INV-1005</t>
        </is>
      </c>
      <c r="B8" s="49" t="n">
        <v>46323</v>
      </c>
      <c r="C8" s="51" t="inlineStr">
        <is>
          <t>P02</t>
        </is>
      </c>
      <c r="D8" s="51">
        <f>IFERROR(INDEX(Participants!$B$4:$B$15,MATCH(C8,Participants!$A$4:$A$15,0)),"NOT FOUND")</f>
        <v/>
      </c>
      <c r="E8" s="51">
        <f>IFERROR(INDEX(Participants!$D$4:$D$15,MATCH(C8,Participants!$A$4:$A$15,0)),"NOT FOUND")</f>
        <v/>
      </c>
      <c r="F8" s="51" t="inlineStr">
        <is>
          <t>FX-DL-WD</t>
        </is>
      </c>
      <c r="G8" s="51">
        <f>IFERROR(INDEX(Price_Table!$B$4:$B$40,MATCH(F8,Price_Table!$A$4:$A$40,0)),"NOT FOUND")</f>
        <v/>
      </c>
      <c r="H8" s="64" t="n">
        <v>4</v>
      </c>
      <c r="I8" s="51">
        <f>IFERROR(INDEX(Price_Table!$E$4:$E$40,MATCH(F8,Price_Table!$A$4:$A$40,0)),"")</f>
        <v/>
      </c>
      <c r="J8" s="69" t="n">
        <v>68</v>
      </c>
      <c r="K8" s="69">
        <f>IFERROR(INDEX(Price_Table!$F$4:$F$40,MATCH(F8,Price_Table!$A$4:$A$40,0)),"")</f>
        <v/>
      </c>
      <c r="L8" s="69">
        <f>IF(AND(ISNUMBER(H8),ISNUMBER(J8)),H8*J8,"")</f>
        <v/>
      </c>
      <c r="M8" s="67" t="n"/>
      <c r="N8" s="67" t="n"/>
    </row>
    <row r="9" ht="15" customHeight="1" s="45">
      <c r="A9" s="51" t="inlineStr">
        <is>
          <t>INV-1006</t>
        </is>
      </c>
      <c r="B9" s="49" t="n">
        <v>46323</v>
      </c>
      <c r="C9" s="51" t="inlineStr">
        <is>
          <t>P12</t>
        </is>
      </c>
      <c r="D9" s="51">
        <f>IFERROR(INDEX(Participants!$B$4:$B$15,MATCH(C9,Participants!$A$4:$A$15,0)),"NOT FOUND")</f>
        <v/>
      </c>
      <c r="E9" s="51">
        <f>IFERROR(INDEX(Participants!$D$4:$D$15,MATCH(C9,Participants!$A$4:$A$15,0)),"NOT FOUND")</f>
        <v/>
      </c>
      <c r="F9" s="51" t="inlineStr">
        <is>
          <t>FX-PT-01</t>
        </is>
      </c>
      <c r="G9" s="51">
        <f>IFERROR(INDEX(Price_Table!$B$4:$B$40,MATCH(F9,Price_Table!$A$4:$A$40,0)),"NOT FOUND")</f>
        <v/>
      </c>
      <c r="H9" s="64" t="n">
        <v>1</v>
      </c>
      <c r="I9" s="51">
        <f>IFERROR(INDEX(Price_Table!$E$4:$E$40,MATCH(F9,Price_Table!$A$4:$A$40,0)),"")</f>
        <v/>
      </c>
      <c r="J9" s="69" t="n">
        <v>175</v>
      </c>
      <c r="K9" s="69">
        <f>IFERROR(INDEX(Price_Table!$F$4:$F$40,MATCH(F9,Price_Table!$A$4:$A$40,0)),"")</f>
        <v/>
      </c>
      <c r="L9" s="69">
        <f>IF(AND(ISNUMBER(H9),ISNUMBER(J9)),H9*J9,"")</f>
        <v/>
      </c>
      <c r="M9" s="67" t="n"/>
      <c r="N9" s="67" t="n"/>
    </row>
    <row r="10" ht="15" customHeight="1" s="45">
      <c r="A10" s="51" t="inlineStr">
        <is>
          <t>INV-1007</t>
        </is>
      </c>
      <c r="B10" s="49" t="n">
        <v>46323</v>
      </c>
      <c r="C10" s="51" t="inlineStr">
        <is>
          <t>P07</t>
        </is>
      </c>
      <c r="D10" s="51">
        <f>IFERROR(INDEX(Participants!$B$4:$B$15,MATCH(C10,Participants!$A$4:$A$15,0)),"NOT FOUND")</f>
        <v/>
      </c>
      <c r="E10" s="51">
        <f>IFERROR(INDEX(Participants!$D$4:$D$15,MATCH(C10,Participants!$A$4:$A$15,0)),"NOT FOUND")</f>
        <v/>
      </c>
      <c r="F10" s="51" t="inlineStr">
        <is>
          <t>FX-PS-01</t>
        </is>
      </c>
      <c r="G10" s="51">
        <f>IFERROR(INDEX(Price_Table!$B$4:$B$40,MATCH(F10,Price_Table!$A$4:$A$40,0)),"NOT FOUND")</f>
        <v/>
      </c>
      <c r="H10" s="64" t="n">
        <v>1</v>
      </c>
      <c r="I10" s="51">
        <f>IFERROR(INDEX(Price_Table!$E$4:$E$40,MATCH(F10,Price_Table!$A$4:$A$40,0)),"")</f>
        <v/>
      </c>
      <c r="J10" s="69" t="n">
        <v>220</v>
      </c>
      <c r="K10" s="69">
        <f>IFERROR(INDEX(Price_Table!$F$4:$F$40,MATCH(F10,Price_Table!$A$4:$A$40,0)),"")</f>
        <v/>
      </c>
      <c r="L10" s="69">
        <f>IF(AND(ISNUMBER(H10),ISNUMBER(J10)),H10*J10,"")</f>
        <v/>
      </c>
      <c r="M10" s="67" t="n"/>
      <c r="N10" s="67" t="n"/>
    </row>
    <row r="11" ht="15" customHeight="1" s="45">
      <c r="A11" s="51" t="inlineStr">
        <is>
          <t>INV-1008</t>
        </is>
      </c>
      <c r="B11" s="49" t="n">
        <v>46324</v>
      </c>
      <c r="C11" s="51" t="inlineStr">
        <is>
          <t>P04</t>
        </is>
      </c>
      <c r="D11" s="51">
        <f>IFERROR(INDEX(Participants!$B$4:$B$15,MATCH(C11,Participants!$A$4:$A$15,0)),"NOT FOUND")</f>
        <v/>
      </c>
      <c r="E11" s="51">
        <f>IFERROR(INDEX(Participants!$D$4:$D$15,MATCH(C11,Participants!$A$4:$A$15,0)),"NOT FOUND")</f>
        <v/>
      </c>
      <c r="F11" s="51" t="inlineStr">
        <is>
          <t>FX-OT-01</t>
        </is>
      </c>
      <c r="G11" s="51">
        <f>IFERROR(INDEX(Price_Table!$B$4:$B$40,MATCH(F11,Price_Table!$A$4:$A$40,0)),"NOT FOUND")</f>
        <v/>
      </c>
      <c r="H11" s="64" t="n">
        <v>1</v>
      </c>
      <c r="I11" s="51">
        <f>IFERROR(INDEX(Price_Table!$E$4:$E$40,MATCH(F11,Price_Table!$A$4:$A$40,0)),"")</f>
        <v/>
      </c>
      <c r="J11" s="69" t="n">
        <v>205</v>
      </c>
      <c r="K11" s="69">
        <f>IFERROR(INDEX(Price_Table!$F$4:$F$40,MATCH(F11,Price_Table!$A$4:$A$40,0)),"")</f>
        <v/>
      </c>
      <c r="L11" s="69">
        <f>IF(AND(ISNUMBER(H11),ISNUMBER(J11)),H11*J11,"")</f>
        <v/>
      </c>
      <c r="M11" s="67" t="n"/>
      <c r="N11" s="67" t="n"/>
    </row>
    <row r="12" ht="15" customHeight="1" s="45">
      <c r="A12" s="51" t="inlineStr">
        <is>
          <t>INV-1009</t>
        </is>
      </c>
      <c r="B12" s="49" t="n">
        <v>46324</v>
      </c>
      <c r="C12" s="51" t="inlineStr">
        <is>
          <t>P08</t>
        </is>
      </c>
      <c r="D12" s="51">
        <f>IFERROR(INDEX(Participants!$B$4:$B$15,MATCH(C12,Participants!$A$4:$A$15,0)),"NOT FOUND")</f>
        <v/>
      </c>
      <c r="E12" s="51">
        <f>IFERROR(INDEX(Participants!$D$4:$D$15,MATCH(C12,Participants!$A$4:$A$15,0)),"NOT FOUND")</f>
        <v/>
      </c>
      <c r="F12" s="51" t="inlineStr">
        <is>
          <t>FX-CA-WD</t>
        </is>
      </c>
      <c r="G12" s="51">
        <f>IFERROR(INDEX(Price_Table!$B$4:$B$40,MATCH(F12,Price_Table!$A$4:$A$40,0)),"NOT FOUND")</f>
        <v/>
      </c>
      <c r="H12" s="64" t="n">
        <v>4</v>
      </c>
      <c r="I12" s="51">
        <f>IFERROR(INDEX(Price_Table!$E$4:$E$40,MATCH(F12,Price_Table!$A$4:$A$40,0)),"")</f>
        <v/>
      </c>
      <c r="J12" s="69" t="n">
        <v>62</v>
      </c>
      <c r="K12" s="69">
        <f>IFERROR(INDEX(Price_Table!$F$4:$F$40,MATCH(F12,Price_Table!$A$4:$A$40,0)),"")</f>
        <v/>
      </c>
      <c r="L12" s="69">
        <f>IF(AND(ISNUMBER(H12),ISNUMBER(J12)),H12*J12,"")</f>
        <v/>
      </c>
      <c r="M12" s="67" t="n"/>
      <c r="N12" s="67" t="n"/>
    </row>
    <row r="13" ht="15" customHeight="1" s="45">
      <c r="A13" s="51" t="inlineStr">
        <is>
          <t>INV-1010</t>
        </is>
      </c>
      <c r="B13" s="49" t="n">
        <v>46324</v>
      </c>
      <c r="C13" s="51" t="inlineStr">
        <is>
          <t>P03</t>
        </is>
      </c>
      <c r="D13" s="51">
        <f>IFERROR(INDEX(Participants!$B$4:$B$15,MATCH(C13,Participants!$A$4:$A$15,0)),"NOT FOUND")</f>
        <v/>
      </c>
      <c r="E13" s="51">
        <f>IFERROR(INDEX(Participants!$D$4:$D$15,MATCH(C13,Participants!$A$4:$A$15,0)),"NOT FOUND")</f>
        <v/>
      </c>
      <c r="F13" s="51" t="inlineStr">
        <is>
          <t>FX-SC-01</t>
        </is>
      </c>
      <c r="G13" s="51">
        <f>IFERROR(INDEX(Price_Table!$B$4:$B$40,MATCH(F13,Price_Table!$A$4:$A$40,0)),"NOT FOUND")</f>
        <v/>
      </c>
      <c r="H13" s="64" t="n">
        <v>2</v>
      </c>
      <c r="I13" s="51">
        <f>IFERROR(INDEX(Price_Table!$E$4:$E$40,MATCH(F13,Price_Table!$A$4:$A$40,0)),"")</f>
        <v/>
      </c>
      <c r="J13" s="69" t="n">
        <v>100</v>
      </c>
      <c r="K13" s="69">
        <f>IFERROR(INDEX(Price_Table!$F$4:$F$40,MATCH(F13,Price_Table!$A$4:$A$40,0)),"")</f>
        <v/>
      </c>
      <c r="L13" s="69">
        <f>IF(AND(ISNUMBER(H13),ISNUMBER(J13)),H13*J13,"")</f>
        <v/>
      </c>
      <c r="M13" s="67" t="n"/>
      <c r="N13" s="67" t="n"/>
    </row>
    <row r="14" ht="15" customHeight="1" s="45">
      <c r="A14" s="51" t="inlineStr">
        <is>
          <t>INV-1011</t>
        </is>
      </c>
      <c r="B14" s="49" t="n">
        <v>46325</v>
      </c>
      <c r="C14" s="51" t="inlineStr">
        <is>
          <t>P11</t>
        </is>
      </c>
      <c r="D14" s="51">
        <f>IFERROR(INDEX(Participants!$B$4:$B$15,MATCH(C14,Participants!$A$4:$A$15,0)),"NOT FOUND")</f>
        <v/>
      </c>
      <c r="E14" s="51">
        <f>IFERROR(INDEX(Participants!$D$4:$D$15,MATCH(C14,Participants!$A$4:$A$15,0)),"NOT FOUND")</f>
        <v/>
      </c>
      <c r="F14" s="51" t="inlineStr">
        <is>
          <t>FX-DL-WD</t>
        </is>
      </c>
      <c r="G14" s="51">
        <f>IFERROR(INDEX(Price_Table!$B$4:$B$40,MATCH(F14,Price_Table!$A$4:$A$40,0)),"NOT FOUND")</f>
        <v/>
      </c>
      <c r="H14" s="64" t="n">
        <v>40</v>
      </c>
      <c r="I14" s="51">
        <f>IFERROR(INDEX(Price_Table!$E$4:$E$40,MATCH(F14,Price_Table!$A$4:$A$40,0)),"")</f>
        <v/>
      </c>
      <c r="J14" s="69" t="n">
        <v>60</v>
      </c>
      <c r="K14" s="69">
        <f>IFERROR(INDEX(Price_Table!$F$4:$F$40,MATCH(F14,Price_Table!$A$4:$A$40,0)),"")</f>
        <v/>
      </c>
      <c r="L14" s="69">
        <f>IF(AND(ISNUMBER(H14),ISNUMBER(J14)),H14*J14,"")</f>
        <v/>
      </c>
      <c r="M14" s="67" t="n"/>
      <c r="N14" s="67" t="n"/>
    </row>
    <row r="15" ht="15" customHeight="1" s="45">
      <c r="A15" s="51" t="inlineStr">
        <is>
          <t>INV-1012</t>
        </is>
      </c>
      <c r="B15" s="49" t="n">
        <v>46325</v>
      </c>
      <c r="C15" s="51" t="inlineStr">
        <is>
          <t>P06</t>
        </is>
      </c>
      <c r="D15" s="51">
        <f>IFERROR(INDEX(Participants!$B$4:$B$15,MATCH(C15,Participants!$A$4:$A$15,0)),"NOT FOUND")</f>
        <v/>
      </c>
      <c r="E15" s="51">
        <f>IFERROR(INDEX(Participants!$D$4:$D$15,MATCH(C15,Participants!$A$4:$A$15,0)),"NOT FOUND")</f>
        <v/>
      </c>
      <c r="F15" s="51" t="inlineStr">
        <is>
          <t>FX-DL-WE</t>
        </is>
      </c>
      <c r="G15" s="51">
        <f>IFERROR(INDEX(Price_Table!$B$4:$B$40,MATCH(F15,Price_Table!$A$4:$A$40,0)),"NOT FOUND")</f>
        <v/>
      </c>
      <c r="H15" s="64" t="n">
        <v>3</v>
      </c>
      <c r="I15" s="51">
        <f>IFERROR(INDEX(Price_Table!$E$4:$E$40,MATCH(F15,Price_Table!$A$4:$A$40,0)),"")</f>
        <v/>
      </c>
      <c r="J15" s="69" t="n">
        <v>66</v>
      </c>
      <c r="K15" s="69">
        <f>IFERROR(INDEX(Price_Table!$F$4:$F$40,MATCH(F15,Price_Table!$A$4:$A$40,0)),"")</f>
        <v/>
      </c>
      <c r="L15" s="69">
        <f>IF(AND(ISNUMBER(H15),ISNUMBER(J15)),H15*J15,"")</f>
        <v/>
      </c>
      <c r="M15" s="67" t="n"/>
      <c r="N15" s="67" t="n"/>
    </row>
    <row r="16" ht="15" customHeight="1" s="45">
      <c r="A16" s="51" t="inlineStr">
        <is>
          <t>INV-1013</t>
        </is>
      </c>
      <c r="B16" s="49" t="n">
        <v>46325</v>
      </c>
      <c r="C16" s="51" t="inlineStr">
        <is>
          <t>P12</t>
        </is>
      </c>
      <c r="D16" s="51">
        <f>IFERROR(INDEX(Participants!$B$4:$B$15,MATCH(C16,Participants!$A$4:$A$15,0)),"NOT FOUND")</f>
        <v/>
      </c>
      <c r="E16" s="51">
        <f>IFERROR(INDEX(Participants!$D$4:$D$15,MATCH(C16,Participants!$A$4:$A$15,0)),"NOT FOUND")</f>
        <v/>
      </c>
      <c r="F16" s="51" t="inlineStr">
        <is>
          <t>FX-DL-WD</t>
        </is>
      </c>
      <c r="G16" s="51">
        <f>IFERROR(INDEX(Price_Table!$B$4:$B$40,MATCH(F16,Price_Table!$A$4:$A$40,0)),"NOT FOUND")</f>
        <v/>
      </c>
      <c r="H16" s="64" t="n">
        <v>4</v>
      </c>
      <c r="I16" s="51">
        <f>IFERROR(INDEX(Price_Table!$E$4:$E$40,MATCH(F16,Price_Table!$A$4:$A$40,0)),"")</f>
        <v/>
      </c>
      <c r="J16" s="69" t="n">
        <v>60</v>
      </c>
      <c r="K16" s="69">
        <f>IFERROR(INDEX(Price_Table!$F$4:$F$40,MATCH(F16,Price_Table!$A$4:$A$40,0)),"")</f>
        <v/>
      </c>
      <c r="L16" s="69">
        <f>IF(AND(ISNUMBER(H16),ISNUMBER(J16)),H16*J16,"")</f>
        <v/>
      </c>
      <c r="M16" s="67" t="n"/>
      <c r="N16" s="67" t="n"/>
    </row>
    <row r="17" ht="15" customHeight="1" s="45">
      <c r="A17" s="51" t="inlineStr">
        <is>
          <t>INV-1014</t>
        </is>
      </c>
      <c r="B17" s="49" t="n">
        <v>46326</v>
      </c>
      <c r="C17" s="51" t="inlineStr">
        <is>
          <t>P01</t>
        </is>
      </c>
      <c r="D17" s="51">
        <f>IFERROR(INDEX(Participants!$B$4:$B$15,MATCH(C17,Participants!$A$4:$A$15,0)),"NOT FOUND")</f>
        <v/>
      </c>
      <c r="E17" s="51">
        <f>IFERROR(INDEX(Participants!$D$4:$D$15,MATCH(C17,Participants!$A$4:$A$15,0)),"NOT FOUND")</f>
        <v/>
      </c>
      <c r="F17" s="51" t="inlineStr">
        <is>
          <t>FX-CA-SA</t>
        </is>
      </c>
      <c r="G17" s="51">
        <f>IFERROR(INDEX(Price_Table!$B$4:$B$40,MATCH(F17,Price_Table!$A$4:$A$40,0)),"NOT FOUND")</f>
        <v/>
      </c>
      <c r="H17" s="64" t="n">
        <v>4</v>
      </c>
      <c r="I17" s="51">
        <f>IFERROR(INDEX(Price_Table!$E$4:$E$40,MATCH(F17,Price_Table!$A$4:$A$40,0)),"")</f>
        <v/>
      </c>
      <c r="J17" s="69" t="n">
        <v>87</v>
      </c>
      <c r="K17" s="69">
        <f>IFERROR(INDEX(Price_Table!$F$4:$F$40,MATCH(F17,Price_Table!$A$4:$A$40,0)),"")</f>
        <v/>
      </c>
      <c r="L17" s="69">
        <f>IF(AND(ISNUMBER(H17),ISNUMBER(J17)),H17*J17,"")</f>
        <v/>
      </c>
      <c r="M17" s="67" t="n"/>
      <c r="N17" s="67" t="n"/>
    </row>
    <row r="18" ht="15" customHeight="1" s="45">
      <c r="A18" s="51" t="inlineStr">
        <is>
          <t>INV-1015</t>
        </is>
      </c>
      <c r="B18" s="49" t="n">
        <v>46326</v>
      </c>
      <c r="C18" s="51" t="inlineStr">
        <is>
          <t>P99</t>
        </is>
      </c>
      <c r="D18" s="51">
        <f>IFERROR(INDEX(Participants!$B$4:$B$15,MATCH(C18,Participants!$A$4:$A$15,0)),"NOT FOUND")</f>
        <v/>
      </c>
      <c r="E18" s="51">
        <f>IFERROR(INDEX(Participants!$D$4:$D$15,MATCH(C18,Participants!$A$4:$A$15,0)),"NOT FOUND")</f>
        <v/>
      </c>
      <c r="F18" s="51" t="inlineStr">
        <is>
          <t>FX-DL-SA</t>
        </is>
      </c>
      <c r="G18" s="51">
        <f>IFERROR(INDEX(Price_Table!$B$4:$B$40,MATCH(F18,Price_Table!$A$4:$A$40,0)),"NOT FOUND")</f>
        <v/>
      </c>
      <c r="H18" s="64" t="n">
        <v>4</v>
      </c>
      <c r="I18" s="51">
        <f>IFERROR(INDEX(Price_Table!$E$4:$E$40,MATCH(F18,Price_Table!$A$4:$A$40,0)),"")</f>
        <v/>
      </c>
      <c r="J18" s="69" t="n">
        <v>84</v>
      </c>
      <c r="K18" s="69">
        <f>IFERROR(INDEX(Price_Table!$F$4:$F$40,MATCH(F18,Price_Table!$A$4:$A$40,0)),"")</f>
        <v/>
      </c>
      <c r="L18" s="69">
        <f>IF(AND(ISNUMBER(H18),ISNUMBER(J18)),H18*J18,"")</f>
        <v/>
      </c>
      <c r="M18" s="67" t="n"/>
      <c r="N18" s="67" t="n"/>
    </row>
    <row r="19" ht="15" customHeight="1" s="45">
      <c r="A19" s="51" t="inlineStr">
        <is>
          <t>INV-1016</t>
        </is>
      </c>
      <c r="B19" s="49" t="n">
        <v>46327</v>
      </c>
      <c r="C19" s="51" t="inlineStr">
        <is>
          <t>P12</t>
        </is>
      </c>
      <c r="D19" s="51">
        <f>IFERROR(INDEX(Participants!$B$4:$B$15,MATCH(C19,Participants!$A$4:$A$15,0)),"NOT FOUND")</f>
        <v/>
      </c>
      <c r="E19" s="51">
        <f>IFERROR(INDEX(Participants!$D$4:$D$15,MATCH(C19,Participants!$A$4:$A$15,0)),"NOT FOUND")</f>
        <v/>
      </c>
      <c r="F19" s="51" t="inlineStr">
        <is>
          <t>FX-DL-WD</t>
        </is>
      </c>
      <c r="G19" s="51">
        <f>IFERROR(INDEX(Price_Table!$B$4:$B$40,MATCH(F19,Price_Table!$A$4:$A$40,0)),"NOT FOUND")</f>
        <v/>
      </c>
      <c r="H19" s="64" t="n">
        <v>4</v>
      </c>
      <c r="I19" s="51">
        <f>IFERROR(INDEX(Price_Table!$E$4:$E$40,MATCH(F19,Price_Table!$A$4:$A$40,0)),"")</f>
        <v/>
      </c>
      <c r="J19" s="69" t="n">
        <v>60</v>
      </c>
      <c r="K19" s="69">
        <f>IFERROR(INDEX(Price_Table!$F$4:$F$40,MATCH(F19,Price_Table!$A$4:$A$40,0)),"")</f>
        <v/>
      </c>
      <c r="L19" s="69">
        <f>IF(AND(ISNUMBER(H19),ISNUMBER(J19)),H19*J19,"")</f>
        <v/>
      </c>
      <c r="M19" s="67" t="n"/>
      <c r="N19" s="67" t="n"/>
    </row>
    <row r="20" ht="15" customHeight="1" s="45">
      <c r="A20" s="51" t="inlineStr">
        <is>
          <t>INV-1017</t>
        </is>
      </c>
      <c r="B20" s="49" t="n">
        <v>46325</v>
      </c>
      <c r="C20" s="51" t="inlineStr">
        <is>
          <t>P09</t>
        </is>
      </c>
      <c r="D20" s="51">
        <f>IFERROR(INDEX(Participants!$B$4:$B$15,MATCH(C20,Participants!$A$4:$A$15,0)),"NOT FOUND")</f>
        <v/>
      </c>
      <c r="E20" s="51">
        <f>IFERROR(INDEX(Participants!$D$4:$D$15,MATCH(C20,Participants!$A$4:$A$15,0)),"NOT FOUND")</f>
        <v/>
      </c>
      <c r="F20" s="51" t="inlineStr">
        <is>
          <t>FX-DL-WD</t>
        </is>
      </c>
      <c r="G20" s="51">
        <f>IFERROR(INDEX(Price_Table!$B$4:$B$40,MATCH(F20,Price_Table!$A$4:$A$40,0)),"NOT FOUND")</f>
        <v/>
      </c>
      <c r="H20" s="64" t="n">
        <v>2</v>
      </c>
      <c r="I20" s="51">
        <f>IFERROR(INDEX(Price_Table!$E$4:$E$40,MATCH(F20,Price_Table!$A$4:$A$40,0)),"")</f>
        <v/>
      </c>
      <c r="J20" s="69" t="n">
        <v>60</v>
      </c>
      <c r="K20" s="69">
        <f>IFERROR(INDEX(Price_Table!$F$4:$F$40,MATCH(F20,Price_Table!$A$4:$A$40,0)),"")</f>
        <v/>
      </c>
      <c r="L20" s="69">
        <f>IF(AND(ISNUMBER(H20),ISNUMBER(J20)),H20*J20,"")</f>
        <v/>
      </c>
      <c r="M20" s="67" t="n"/>
      <c r="N20" s="67" t="n"/>
    </row>
    <row r="21" ht="15" customHeight="1" s="45">
      <c r="A21" s="51" t="inlineStr">
        <is>
          <t>INV-1018</t>
        </is>
      </c>
      <c r="B21" s="49" t="n">
        <v>46322</v>
      </c>
      <c r="C21" s="51" t="inlineStr">
        <is>
          <t>P10</t>
        </is>
      </c>
      <c r="D21" s="51">
        <f>IFERROR(INDEX(Participants!$B$4:$B$15,MATCH(C21,Participants!$A$4:$A$15,0)),"NOT FOUND")</f>
        <v/>
      </c>
      <c r="E21" s="51">
        <f>IFERROR(INDEX(Participants!$D$4:$D$15,MATCH(C21,Participants!$A$4:$A$15,0)),"NOT FOUND")</f>
        <v/>
      </c>
      <c r="F21" s="51" t="inlineStr">
        <is>
          <t>FX-SC-01</t>
        </is>
      </c>
      <c r="G21" s="51">
        <f>IFERROR(INDEX(Price_Table!$B$4:$B$40,MATCH(F21,Price_Table!$A$4:$A$40,0)),"NOT FOUND")</f>
        <v/>
      </c>
      <c r="H21" s="64" t="n">
        <v>1.5</v>
      </c>
      <c r="I21" s="51">
        <f>IFERROR(INDEX(Price_Table!$E$4:$E$40,MATCH(F21,Price_Table!$A$4:$A$40,0)),"")</f>
        <v/>
      </c>
      <c r="J21" s="69" t="n">
        <v>100</v>
      </c>
      <c r="K21" s="69">
        <f>IFERROR(INDEX(Price_Table!$F$4:$F$40,MATCH(F21,Price_Table!$A$4:$A$40,0)),"")</f>
        <v/>
      </c>
      <c r="L21" s="69">
        <f>IF(AND(ISNUMBER(H21),ISNUMBER(J21)),H21*J21,"")</f>
        <v/>
      </c>
      <c r="M21" s="67" t="n"/>
      <c r="N21" s="67" t="n"/>
    </row>
    <row r="22" ht="15" customHeight="1" s="45">
      <c r="A22" s="51" t="inlineStr">
        <is>
          <t>INV-1019</t>
        </is>
      </c>
      <c r="B22" s="49" t="n">
        <v>46323</v>
      </c>
      <c r="C22" s="51" t="inlineStr">
        <is>
          <t>P02</t>
        </is>
      </c>
      <c r="D22" s="51">
        <f>IFERROR(INDEX(Participants!$B$4:$B$15,MATCH(C22,Participants!$A$4:$A$15,0)),"NOT FOUND")</f>
        <v/>
      </c>
      <c r="E22" s="51">
        <f>IFERROR(INDEX(Participants!$D$4:$D$15,MATCH(C22,Participants!$A$4:$A$15,0)),"NOT FOUND")</f>
        <v/>
      </c>
      <c r="F22" s="51" t="inlineStr">
        <is>
          <t>FX-XX-99</t>
        </is>
      </c>
      <c r="G22" s="51">
        <f>IFERROR(INDEX(Price_Table!$B$4:$B$40,MATCH(F22,Price_Table!$A$4:$A$40,0)),"NOT FOUND")</f>
        <v/>
      </c>
      <c r="H22" s="64" t="n">
        <v>2</v>
      </c>
      <c r="I22" s="51">
        <f>IFERROR(INDEX(Price_Table!$E$4:$E$40,MATCH(F22,Price_Table!$A$4:$A$40,0)),"")</f>
        <v/>
      </c>
      <c r="J22" s="69" t="n">
        <v>60</v>
      </c>
      <c r="K22" s="69">
        <f>IFERROR(INDEX(Price_Table!$F$4:$F$40,MATCH(F22,Price_Table!$A$4:$A$40,0)),"")</f>
        <v/>
      </c>
      <c r="L22" s="69">
        <f>IF(AND(ISNUMBER(H22),ISNUMBER(J22)),H22*J22,"")</f>
        <v/>
      </c>
      <c r="M22" s="67" t="n"/>
      <c r="N22" s="67" t="n"/>
    </row>
    <row r="23" ht="15" customHeight="1" s="45">
      <c r="A23" s="51" t="inlineStr">
        <is>
          <t>INV-1020</t>
        </is>
      </c>
      <c r="B23" s="49" t="n">
        <v>46324</v>
      </c>
      <c r="C23" s="51" t="inlineStr">
        <is>
          <t>P05</t>
        </is>
      </c>
      <c r="D23" s="51">
        <f>IFERROR(INDEX(Participants!$B$4:$B$15,MATCH(C23,Participants!$A$4:$A$15,0)),"NOT FOUND")</f>
        <v/>
      </c>
      <c r="E23" s="51">
        <f>IFERROR(INDEX(Participants!$D$4:$D$15,MATCH(C23,Participants!$A$4:$A$15,0)),"NOT FOUND")</f>
        <v/>
      </c>
      <c r="F23" s="51" t="inlineStr">
        <is>
          <t>FX-CA-WD</t>
        </is>
      </c>
      <c r="G23" s="51">
        <f>IFERROR(INDEX(Price_Table!$B$4:$B$40,MATCH(F23,Price_Table!$A$4:$A$40,0)),"NOT FOUND")</f>
        <v/>
      </c>
      <c r="H23" s="64" t="n">
        <v>3</v>
      </c>
      <c r="I23" s="51">
        <f>IFERROR(INDEX(Price_Table!$E$4:$E$40,MATCH(F23,Price_Table!$A$4:$A$40,0)),"")</f>
        <v/>
      </c>
      <c r="J23" s="69" t="n">
        <v>62</v>
      </c>
      <c r="K23" s="69">
        <f>IFERROR(INDEX(Price_Table!$F$4:$F$40,MATCH(F23,Price_Table!$A$4:$A$40,0)),"")</f>
        <v/>
      </c>
      <c r="L23" s="69">
        <f>IF(AND(ISNUMBER(H23),ISNUMBER(J23)),H23*J23,"")</f>
        <v/>
      </c>
      <c r="M23" s="67" t="n"/>
      <c r="N23" s="67" t="n"/>
    </row>
    <row r="25" ht="15" customHeight="1" s="45">
      <c r="A25" s="48" t="inlineStr">
        <is>
          <t>Batch total</t>
        </is>
      </c>
      <c r="L25" s="70">
        <f>SUM(L4:L23)</f>
        <v/>
      </c>
    </row>
    <row r="26" ht="23.25" customHeight="1" s="45">
      <c r="A26" s="48" t="inlineStr">
        <is>
          <t>Number of lines</t>
        </is>
      </c>
      <c r="L26" s="71">
        <f>COUNTA(A4:A23)</f>
        <v/>
      </c>
    </row>
  </sheetData>
  <dataValidations count="1">
    <dataValidation sqref="M4:M23" showDropDown="0" showInputMessage="0" showErrorMessage="0" allowBlank="1" type="list" errorStyle="stop" operator="between">
      <formula1>"OK,Flag,Ask,Escalate"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7" customWidth="1" style="44" min="2" max="2"/>
    <col width="42" customWidth="1" style="44" min="3" max="3"/>
    <col width="28" customWidth="1" style="44" min="4" max="4"/>
    <col width="42" customWidth="1" style="44" min="5" max="5"/>
    <col width="15" customWidth="1" style="44" min="6" max="6"/>
    <col width="18" customWidth="1" style="44" min="7" max="7"/>
    <col width="38" customWidth="1" style="44" min="8" max="8"/>
    <col width="10" customWidth="1" style="44" min="9" max="9"/>
  </cols>
  <sheetData>
    <row r="1" ht="17.25" customHeight="1" s="45">
      <c r="A1" s="58" t="inlineStr">
        <is>
          <t>Shared inbox (fictional): the practice week</t>
        </is>
      </c>
    </row>
    <row r="2" ht="15" customHeight="1" s="45">
      <c r="A2" s="59" t="inlineStr">
        <is>
          <t>Times are Melbourne time. Work through the emails in order. Decide what you can do yourself and what you must pass on.</t>
        </is>
      </c>
    </row>
    <row r="3" ht="33.75" customHeight="1" s="45">
      <c r="A3" s="60" t="inlineStr">
        <is>
          <t>ID</t>
        </is>
      </c>
      <c r="B3" s="60" t="inlineStr">
        <is>
          <t>Received (Melbourne time)</t>
        </is>
      </c>
      <c r="C3" s="60" t="inlineStr">
        <is>
          <t>From</t>
        </is>
      </c>
      <c r="D3" s="60" t="inlineStr">
        <is>
          <t>Subject</t>
        </is>
      </c>
      <c r="E3" s="60" t="inlineStr">
        <is>
          <t>Message</t>
        </is>
      </c>
      <c r="F3" s="60" t="inlineStr">
        <is>
          <t>Your priority</t>
        </is>
      </c>
      <c r="G3" s="60" t="inlineStr">
        <is>
          <t>What you will do</t>
        </is>
      </c>
      <c r="H3" s="60" t="inlineStr">
        <is>
          <t>Who you will escalate to (if anyone)</t>
        </is>
      </c>
      <c r="I3" s="60" t="inlineStr">
        <is>
          <t>Done?</t>
        </is>
      </c>
    </row>
    <row r="4" ht="23.25" customHeight="1" s="45">
      <c r="A4" s="51" t="inlineStr">
        <is>
          <t>E01</t>
        </is>
      </c>
      <c r="B4" s="51" t="inlineStr">
        <is>
          <t>Mon 2 Nov, 7:15 am</t>
        </is>
      </c>
      <c r="C4" s="51" t="inlineStr">
        <is>
          <t>Joy Villanueva (support worker)</t>
        </is>
      </c>
      <c r="D4" s="51" t="inlineStr">
        <is>
          <t>Can't work today</t>
        </is>
      </c>
      <c r="E4" s="51" t="inlineStr">
        <is>
          <t>Hi, I woke up unwell and can't do my 10 am shift with Marisol today. Sorry for the late notice. Can someone cover?</t>
        </is>
      </c>
      <c r="F4" s="67" t="n"/>
      <c r="G4" s="67" t="n"/>
      <c r="H4" s="67" t="n"/>
      <c r="I4" s="67" t="n"/>
    </row>
    <row r="5" ht="23.25" customHeight="1" s="45">
      <c r="A5" s="51" t="inlineStr">
        <is>
          <t>E02</t>
        </is>
      </c>
      <c r="B5" s="51" t="inlineStr">
        <is>
          <t>Mon 2 Nov, 8:40 am</t>
        </is>
      </c>
      <c r="C5" s="51" t="inlineStr">
        <is>
          <t>Sophie Lam (support worker)</t>
        </is>
      </c>
      <c r="D5" s="51" t="inlineStr">
        <is>
          <t>Two shifts at once?</t>
        </is>
      </c>
      <c r="E5" s="51" t="inlineStr">
        <is>
          <t>Hi, my roster shows Tom from 9 to 1 and Jack from 12 to 4 today. I can't be in two places. Which one should I do?</t>
        </is>
      </c>
      <c r="F5" s="67" t="n"/>
      <c r="G5" s="67" t="n"/>
      <c r="H5" s="67" t="n"/>
      <c r="I5" s="67" t="n"/>
    </row>
    <row r="6" ht="23.25" customHeight="1" s="45">
      <c r="A6" s="51" t="inlineStr">
        <is>
          <t>E03</t>
        </is>
      </c>
      <c r="B6" s="51" t="inlineStr">
        <is>
          <t>Mon 2 Nov, 9:05 am</t>
        </is>
      </c>
      <c r="C6" s="51" t="inlineStr">
        <is>
          <t>Anna Mitchell (parent of a referral)</t>
        </is>
      </c>
      <c r="D6" s="51" t="inlineStr">
        <is>
          <t>Referral for my daughter</t>
        </is>
      </c>
      <c r="E6" s="51" t="inlineStr">
        <is>
          <t>Hello, my daughter Grace was recently approved for the NDIS. Do you have space for community access support, and what does the NDIS cover? Thanks.</t>
        </is>
      </c>
      <c r="F6" s="67" t="n"/>
      <c r="G6" s="67" t="n"/>
      <c r="H6" s="67" t="n"/>
      <c r="I6" s="67" t="n"/>
    </row>
    <row r="7" ht="23.25" customHeight="1" s="45">
      <c r="A7" s="51" t="inlineStr">
        <is>
          <t>E04</t>
        </is>
      </c>
      <c r="B7" s="51" t="inlineStr">
        <is>
          <t>Mon 2 Nov, 9:30 am</t>
        </is>
      </c>
      <c r="C7" s="51" t="inlineStr">
        <is>
          <t>Rhonda Blake (operations manager)</t>
        </is>
      </c>
      <c r="D7" s="51" t="inlineStr">
        <is>
          <t>Screening checks this week</t>
        </is>
      </c>
      <c r="E7" s="51" t="inlineStr">
        <is>
          <t>Please list any workers whose screening check has expired or expires soon. I need the names, the dates, and which shifts they are rostered for this week.</t>
        </is>
      </c>
      <c r="F7" s="67" t="n"/>
      <c r="G7" s="67" t="n"/>
      <c r="H7" s="67" t="n"/>
      <c r="I7" s="67" t="n"/>
    </row>
    <row r="8" ht="23.25" customHeight="1" s="45">
      <c r="A8" s="51" t="inlineStr">
        <is>
          <t>E05</t>
        </is>
      </c>
      <c r="B8" s="51" t="inlineStr">
        <is>
          <t>Mon 2 Nov, 10:10 am</t>
        </is>
      </c>
      <c r="C8" s="51" t="inlineStr">
        <is>
          <t>Olivia Grant (plan manager)</t>
        </is>
      </c>
      <c r="D8" s="51" t="inlineStr">
        <is>
          <t>Invoice batch to check</t>
        </is>
      </c>
      <c r="E8" s="51" t="inlineStr">
        <is>
          <t>Before I approve the batch, please check it and list anything that looks wrong or that you're unsure about. It's on the Invoice_Batch tab.</t>
        </is>
      </c>
      <c r="F8" s="67" t="n"/>
      <c r="G8" s="67" t="n"/>
      <c r="H8" s="67" t="n"/>
      <c r="I8" s="67" t="n"/>
    </row>
    <row r="9" ht="23.25" customHeight="1" s="45">
      <c r="A9" s="51" t="inlineStr">
        <is>
          <t>E06</t>
        </is>
      </c>
      <c r="B9" s="51" t="inlineStr">
        <is>
          <t>Mon 2 Nov, 11:00 am</t>
        </is>
      </c>
      <c r="C9" s="51" t="inlineStr">
        <is>
          <t>Kim Anders (external plan manager for Tom)</t>
        </is>
      </c>
      <c r="D9" s="51" t="inlineStr">
        <is>
          <t>Invoice INV-1008</t>
        </is>
      </c>
      <c r="E9" s="51" t="inlineStr">
        <is>
          <t>Hi, invoice INV-1008 for Tom's OT session looks higher than the limit for that item. Can you confirm the rate?</t>
        </is>
      </c>
      <c r="F9" s="67" t="n"/>
      <c r="G9" s="67" t="n"/>
      <c r="H9" s="67" t="n"/>
      <c r="I9" s="67" t="n"/>
    </row>
    <row r="10" ht="23.25" customHeight="1" s="45">
      <c r="A10" s="51" t="inlineStr">
        <is>
          <t>E07</t>
        </is>
      </c>
      <c r="B10" s="51" t="inlineStr">
        <is>
          <t>Mon 2 Nov, 12:20 pm</t>
        </is>
      </c>
      <c r="C10" s="51" t="inlineStr">
        <is>
          <t>Jamal Ortiz (admin officer)</t>
        </is>
      </c>
      <c r="D10" s="51" t="inlineStr">
        <is>
          <t>Oops, wrong email</t>
        </is>
      </c>
      <c r="E10" s="51" t="inlineStr">
        <is>
          <t>I think I sent Marisol's roster to Priya's email address by mistake about ten minutes ago. What should I do?</t>
        </is>
      </c>
      <c r="F10" s="67" t="n"/>
      <c r="G10" s="67" t="n"/>
      <c r="H10" s="67" t="n"/>
      <c r="I10" s="67" t="n"/>
    </row>
    <row r="11" ht="23.25" customHeight="1" s="45">
      <c r="A11" s="51" t="inlineStr">
        <is>
          <t>E08</t>
        </is>
      </c>
      <c r="B11" s="51" t="inlineStr">
        <is>
          <t>Mon 2 Nov, 1:45 pm</t>
        </is>
      </c>
      <c r="C11" s="51" t="inlineStr">
        <is>
          <t>Callum Reid (director)</t>
        </is>
      </c>
      <c r="D11" s="51" t="inlineStr">
        <is>
          <t>Post for our page</t>
        </is>
      </c>
      <c r="E11" s="51" t="inlineStr">
        <is>
          <t>Can you draft a short, friendly post about our new Saturday community group? Please don't include any participant names or photos.</t>
        </is>
      </c>
      <c r="F11" s="67" t="n"/>
      <c r="G11" s="67" t="n"/>
      <c r="H11" s="67" t="n"/>
      <c r="I11" s="67" t="n"/>
    </row>
    <row r="12" ht="23.25" customHeight="1" s="45">
      <c r="A12" s="51" t="inlineStr">
        <is>
          <t>E09</t>
        </is>
      </c>
      <c r="B12" s="51" t="inlineStr">
        <is>
          <t>Tue 3 Nov, 7:50 am</t>
        </is>
      </c>
      <c r="C12" s="51" t="inlineStr">
        <is>
          <t>Ben Taylor (participant)</t>
        </is>
      </c>
      <c r="D12" s="51" t="inlineStr">
        <is>
          <t>Is today's support on?</t>
        </is>
      </c>
      <c r="E12" s="51" t="inlineStr">
        <is>
          <t>Is my 9 am support today still on? My cousin in Melbourne says today is a public holiday.</t>
        </is>
      </c>
      <c r="F12" s="67" t="n"/>
      <c r="G12" s="67" t="n"/>
      <c r="H12" s="67" t="n"/>
      <c r="I12" s="67" t="n"/>
    </row>
    <row r="13" ht="23.25" customHeight="1" s="45">
      <c r="A13" s="51" t="inlineStr">
        <is>
          <t>E10</t>
        </is>
      </c>
      <c r="B13" s="51" t="inlineStr">
        <is>
          <t>Tue 3 Nov, 9:15 am</t>
        </is>
      </c>
      <c r="C13" s="51" t="inlineStr">
        <is>
          <t>Priya Nair (participant)</t>
        </is>
      </c>
      <c r="D13" s="51" t="inlineStr">
        <is>
          <t>Copies of my records</t>
        </is>
      </c>
      <c r="E13" s="51" t="inlineStr">
        <is>
          <t>Hi, I'd like a copy of all the information Wattlebird holds about me. Can you send it to me by Friday?</t>
        </is>
      </c>
      <c r="F13" s="67" t="n"/>
      <c r="G13" s="67" t="n"/>
      <c r="H13" s="67" t="n"/>
      <c r="I13" s="67" t="n"/>
    </row>
    <row r="14" ht="23.25" customHeight="1" s="45">
      <c r="A14" s="51" t="inlineStr">
        <is>
          <t>E11</t>
        </is>
      </c>
      <c r="B14" s="51" t="inlineStr">
        <is>
          <t>Tue 3 Nov, 10:30 am</t>
        </is>
      </c>
      <c r="C14" s="51" t="inlineStr">
        <is>
          <t>Daniel Whitfield (participant)</t>
        </is>
      </c>
      <c r="D14" s="51" t="inlineStr">
        <is>
          <t>Receipts</t>
        </is>
      </c>
      <c r="E14" s="51" t="inlineStr">
        <is>
          <t>I manage my own plan. Where do I send your invoices, and what should I keep so I can claim?</t>
        </is>
      </c>
      <c r="F14" s="67" t="n"/>
      <c r="G14" s="67" t="n"/>
      <c r="H14" s="67" t="n"/>
      <c r="I14" s="67" t="n"/>
    </row>
    <row r="15" ht="34.5" customHeight="1" s="45">
      <c r="A15" s="51" t="inlineStr">
        <is>
          <t>E12</t>
        </is>
      </c>
      <c r="B15" s="51" t="inlineStr">
        <is>
          <t>Tue 3 Nov, 2:00 pm</t>
        </is>
      </c>
      <c r="C15" s="51" t="inlineStr">
        <is>
          <t>Rhonda Blake (operations manager)</t>
        </is>
      </c>
      <c r="D15" s="51" t="inlineStr">
        <is>
          <t>Pricing update</t>
        </is>
      </c>
      <c r="E15" s="51" t="inlineStr">
        <is>
          <t>A pricing update has been announced (fictional). From Monday 9 Nov, the limit for FX-DL-WD becomes $62.00 and FX-CA-WD becomes $64.00. Please update our price table and keep the old prices for older dates.</t>
        </is>
      </c>
      <c r="F15" s="67" t="n"/>
      <c r="G15" s="67" t="n"/>
      <c r="H15" s="67" t="n"/>
      <c r="I15" s="67" t="n"/>
    </row>
    <row r="16" ht="23.25" customHeight="1" s="45">
      <c r="A16" s="51" t="inlineStr">
        <is>
          <t>E13</t>
        </is>
      </c>
      <c r="B16" s="51" t="inlineStr">
        <is>
          <t>Tue 3 Nov, 4:10 pm</t>
        </is>
      </c>
      <c r="C16" s="51" t="inlineStr">
        <is>
          <t>Noah Kelly (support worker)</t>
        </is>
      </c>
      <c r="D16" s="51" t="inlineStr">
        <is>
          <t>Screening renewal</t>
        </is>
      </c>
      <c r="E16" s="51" t="inlineStr">
        <is>
          <t>Hi, my screening renewal is still being processed. I'm rostered for Wednesday with Ben. Is that still okay?</t>
        </is>
      </c>
      <c r="F16" s="67" t="n"/>
      <c r="G16" s="67" t="n"/>
      <c r="H16" s="67" t="n"/>
      <c r="I16" s="67" t="n"/>
    </row>
    <row r="17" ht="23.25" customHeight="1" s="45">
      <c r="A17" s="51" t="inlineStr">
        <is>
          <t>E14</t>
        </is>
      </c>
      <c r="B17" s="51" t="inlineStr">
        <is>
          <t>Wed 4 Nov, 8:20 am</t>
        </is>
      </c>
      <c r="C17" s="51" t="inlineStr">
        <is>
          <t>Isla Barrett (support worker)</t>
        </is>
      </c>
      <c r="D17" s="51" t="inlineStr">
        <is>
          <t>Time for Saturday</t>
        </is>
      </c>
      <c r="E17" s="51" t="inlineStr">
        <is>
          <t>The roster says Saturday 9 am AEDT for Ben. I'm on the Gold Coast. What time do I actually start?</t>
        </is>
      </c>
      <c r="F17" s="67" t="n"/>
      <c r="G17" s="67" t="n"/>
      <c r="H17" s="67" t="n"/>
      <c r="I17" s="67" t="n"/>
    </row>
    <row r="18" ht="23.25" customHeight="1" s="45">
      <c r="A18" s="51" t="inlineStr">
        <is>
          <t>E15</t>
        </is>
      </c>
      <c r="B18" s="51" t="inlineStr">
        <is>
          <t>Wed 4 Nov, 11:45 am</t>
        </is>
      </c>
      <c r="C18" s="51" t="inlineStr">
        <is>
          <t>Samuel Osei (participant)</t>
        </is>
      </c>
      <c r="D18" s="51" t="inlineStr">
        <is>
          <t>I'm not happy</t>
        </is>
      </c>
      <c r="E18" s="51" t="inlineStr">
        <is>
          <t>My worker arrived 45 minutes late three times this month and nobody told me. This is not okay. Please fix it.</t>
        </is>
      </c>
      <c r="F18" s="67" t="n"/>
      <c r="G18" s="67" t="n"/>
      <c r="H18" s="67" t="n"/>
      <c r="I18" s="67" t="n"/>
    </row>
    <row r="19" ht="23.25" customHeight="1" s="45">
      <c r="A19" s="51" t="inlineStr">
        <is>
          <t>E16</t>
        </is>
      </c>
      <c r="B19" s="51" t="inlineStr">
        <is>
          <t>Wed 4 Nov, 3:00 pm</t>
        </is>
      </c>
      <c r="C19" s="51" t="inlineStr">
        <is>
          <t>Rhonda Blake (operations manager)</t>
        </is>
      </c>
      <c r="D19" s="51" t="inlineStr">
        <is>
          <t>Cover needed Thursday</t>
        </is>
      </c>
      <c r="E19" s="51" t="inlineStr">
        <is>
          <t>Jack's Thursday 1 to 5 pm shift has no worker. Please check availability and suggest two options for me to choose from.</t>
        </is>
      </c>
      <c r="F19" s="67" t="n"/>
      <c r="G19" s="67" t="n"/>
      <c r="H19" s="67" t="n"/>
      <c r="I19" s="67" t="n"/>
    </row>
    <row r="20" ht="23.25" customHeight="1" s="45">
      <c r="A20" s="51" t="inlineStr">
        <is>
          <t>E17</t>
        </is>
      </c>
      <c r="B20" s="51" t="inlineStr">
        <is>
          <t>Thu 5 Nov, 9:00 am</t>
        </is>
      </c>
      <c r="C20" s="51" t="inlineStr">
        <is>
          <t>Tessa Nguyen (support coordinator)</t>
        </is>
      </c>
      <c r="D20" s="51" t="inlineStr">
        <is>
          <t>Aisha's plan review</t>
        </is>
      </c>
      <c r="E20" s="51" t="inlineStr">
        <is>
          <t>Aisha's plan review is coming up. Please put a reminder in the calendar and gather a summary of the services we provided this year.</t>
        </is>
      </c>
      <c r="F20" s="67" t="n"/>
      <c r="G20" s="67" t="n"/>
      <c r="H20" s="67" t="n"/>
      <c r="I20" s="67" t="n"/>
    </row>
    <row r="21" ht="23.25" customHeight="1" s="45">
      <c r="A21" s="51" t="inlineStr">
        <is>
          <t>E18</t>
        </is>
      </c>
      <c r="B21" s="51" t="inlineStr">
        <is>
          <t>Thu 5 Nov, 10:20 am</t>
        </is>
      </c>
      <c r="C21" s="51" t="inlineStr">
        <is>
          <t>Ravi Patel (participant)</t>
        </is>
      </c>
      <c r="D21" s="51" t="inlineStr">
        <is>
          <t>Can I still book physio?</t>
        </is>
      </c>
      <c r="E21" s="51" t="inlineStr">
        <is>
          <t>I think my funds are nearly used up. Can I still book my physio sessions next week? What should I do?</t>
        </is>
      </c>
      <c r="F21" s="67" t="n"/>
      <c r="G21" s="67" t="n"/>
      <c r="H21" s="67" t="n"/>
      <c r="I21" s="67" t="n"/>
    </row>
    <row r="22" ht="23.25" customHeight="1" s="45">
      <c r="A22" s="51" t="inlineStr">
        <is>
          <t>E19</t>
        </is>
      </c>
      <c r="B22" s="51" t="inlineStr">
        <is>
          <t>Thu 5 Nov, 1:10 pm</t>
        </is>
      </c>
      <c r="C22" s="51" t="inlineStr">
        <is>
          <t>Rhonda Blake (operations manager)</t>
        </is>
      </c>
      <c r="D22" s="51" t="inlineStr">
        <is>
          <t>Lucia's agreement</t>
        </is>
      </c>
      <c r="E22" s="51" t="inlineStr">
        <is>
          <t>Lucia's service agreement is due for renewal. Please prepare a draft for me to review, using the template.</t>
        </is>
      </c>
      <c r="F22" s="67" t="n"/>
      <c r="G22" s="67" t="n"/>
      <c r="H22" s="67" t="n"/>
      <c r="I22" s="67" t="n"/>
    </row>
    <row r="23" ht="15" customHeight="1" s="45">
      <c r="A23" s="51" t="inlineStr">
        <is>
          <t>E20</t>
        </is>
      </c>
      <c r="B23" s="51" t="inlineStr">
        <is>
          <t>Fri 6 Nov, 8:30 am</t>
        </is>
      </c>
      <c r="C23" s="51" t="inlineStr">
        <is>
          <t>Tom Nguyen (participant)</t>
        </is>
      </c>
      <c r="D23" s="51" t="inlineStr">
        <is>
          <t>Can't do today</t>
        </is>
      </c>
      <c r="E23" s="51" t="inlineStr">
        <is>
          <t>Sorry, I'm unwell and can't do my 10 am session today.</t>
        </is>
      </c>
      <c r="F23" s="67" t="n"/>
      <c r="G23" s="67" t="n"/>
      <c r="H23" s="67" t="n"/>
      <c r="I23" s="67" t="n"/>
    </row>
    <row r="24" ht="34.5" customHeight="1" s="45">
      <c r="A24" s="51" t="inlineStr">
        <is>
          <t>E21</t>
        </is>
      </c>
      <c r="B24" s="51" t="inlineStr">
        <is>
          <t>Fri 6 Nov, 11:00 am</t>
        </is>
      </c>
      <c r="C24" s="51" t="inlineStr">
        <is>
          <t>Callum Reid (director)</t>
        </is>
      </c>
      <c r="D24" s="51" t="inlineStr">
        <is>
          <t>Website update</t>
        </is>
      </c>
      <c r="E24" s="51" t="inlineStr">
        <is>
          <t>Please update the Contact page: Melbourne office open Mon to Fri, 8:30 am to 5:00 pm Melbourne time; Gold Coast office open Mon to Thu, 9:00 am to 4:00 pm Gold Coast time.</t>
        </is>
      </c>
      <c r="F24" s="67" t="n"/>
      <c r="G24" s="67" t="n"/>
      <c r="H24" s="67" t="n"/>
      <c r="I24" s="67" t="n"/>
    </row>
    <row r="25" ht="23.25" customHeight="1" s="45">
      <c r="A25" s="51" t="inlineStr">
        <is>
          <t>E22</t>
        </is>
      </c>
      <c r="B25" s="51" t="inlineStr">
        <is>
          <t>Fri 6 Nov, 3:30 pm</t>
        </is>
      </c>
      <c r="C25" s="51" t="inlineStr">
        <is>
          <t>Liam O'Connor (Jack's brother)</t>
        </is>
      </c>
      <c r="D25" s="51" t="inlineStr">
        <is>
          <t>Jack's details</t>
        </is>
      </c>
      <c r="E25" s="51" t="inlineStr">
        <is>
          <t>Hi, I'm Jack's brother. Can you send me Jack's plan details and his roster for next week?</t>
        </is>
      </c>
      <c r="F25" s="67" t="n"/>
      <c r="G25" s="67" t="n"/>
      <c r="H25" s="67" t="n"/>
      <c r="I25" s="67" t="n"/>
    </row>
    <row r="26" ht="23.25" customHeight="1" s="45">
      <c r="A26" s="51" t="inlineStr">
        <is>
          <t>E23</t>
        </is>
      </c>
      <c r="B26" s="51" t="inlineStr">
        <is>
          <t>Sat 7 Nov, 2:15 pm</t>
        </is>
      </c>
      <c r="C26" s="51" t="inlineStr">
        <is>
          <t>Farah Hussein (support worker)</t>
        </is>
      </c>
      <c r="D26" s="51" t="inlineStr">
        <is>
          <t>Hannah had a fall</t>
        </is>
      </c>
      <c r="E26" s="51" t="inlineStr">
        <is>
          <t>Hannah slipped in the kitchen during my shift this morning and hit her head. I called an ambulance and I'm at the hospital with her now. I'm not sure what else to do.</t>
        </is>
      </c>
      <c r="F26" s="67" t="n"/>
      <c r="G26" s="67" t="n"/>
      <c r="H26" s="67" t="n"/>
      <c r="I26" s="67" t="n"/>
    </row>
    <row r="27" ht="23.25" customHeight="1" s="45">
      <c r="A27" s="51" t="inlineStr">
        <is>
          <t>E24</t>
        </is>
      </c>
      <c r="B27" s="51" t="inlineStr">
        <is>
          <t>Sun 8 Nov, 6:30 pm</t>
        </is>
      </c>
      <c r="C27" s="51" t="inlineStr">
        <is>
          <t>Rhonda Blake (operations manager)</t>
        </is>
      </c>
      <c r="D27" s="51" t="inlineStr">
        <is>
          <t>Audit next month</t>
        </is>
      </c>
      <c r="E27" s="51" t="inlineStr">
        <is>
          <t>An audit is coming next month. Please tidy the incident and complaint logs and list any gaps by Wednesday.</t>
        </is>
      </c>
      <c r="F27" s="67" t="n"/>
      <c r="G27" s="67" t="n"/>
      <c r="H27" s="67" t="n"/>
      <c r="I27" s="67" t="n"/>
    </row>
  </sheetData>
  <dataValidations count="2">
    <dataValidation sqref="F4:F27" showDropDown="0" showInputMessage="0" showErrorMessage="0" allowBlank="1" type="list" errorStyle="stop" operator="between">
      <formula1>"High,Medium,Low"</formula1>
      <formula2>0</formula2>
    </dataValidation>
    <dataValidation sqref="I4:I27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8" customWidth="1" style="44" min="2" max="2"/>
    <col width="10" customWidth="1" style="44" min="3" max="3"/>
    <col width="21" customWidth="1" style="44" min="4" max="5"/>
    <col width="42" customWidth="1" style="44" min="6" max="6"/>
  </cols>
  <sheetData>
    <row r="1" ht="17.25" customHeight="1" s="45">
      <c r="A1" s="58" t="inlineStr">
        <is>
          <t>My task board</t>
        </is>
      </c>
    </row>
    <row r="2" ht="15" customHeight="1" s="45">
      <c r="A2" s="59" t="inlineStr">
        <is>
          <t>One row per task. The grey row is an example.</t>
        </is>
      </c>
    </row>
    <row r="3" ht="33.75" customHeight="1" s="45">
      <c r="A3" s="60" t="inlineStr">
        <is>
          <t>Task</t>
        </is>
      </c>
      <c r="B3" s="60" t="inlineStr">
        <is>
          <t>Related email ID</t>
        </is>
      </c>
      <c r="C3" s="60" t="inlineStr">
        <is>
          <t>Owner</t>
        </is>
      </c>
      <c r="D3" s="60" t="inlineStr">
        <is>
          <t>Due</t>
        </is>
      </c>
      <c r="E3" s="60" t="inlineStr">
        <is>
          <t>Status</t>
        </is>
      </c>
      <c r="F3" s="60" t="inlineStr">
        <is>
          <t>Notes</t>
        </is>
      </c>
    </row>
    <row r="4" ht="23.25" customHeight="1" s="45">
      <c r="A4" s="72" t="inlineStr">
        <is>
          <t>Ask Rhonda who covers Monday's 10 am shift</t>
        </is>
      </c>
      <c r="B4" s="72" t="inlineStr">
        <is>
          <t>E01</t>
        </is>
      </c>
      <c r="C4" s="72" t="inlineStr">
        <is>
          <t>Me</t>
        </is>
      </c>
      <c r="D4" s="73" t="n">
        <v>46328</v>
      </c>
      <c r="E4" s="72" t="inlineStr">
        <is>
          <t>To do</t>
        </is>
      </c>
      <c r="F4" s="72" t="inlineStr">
        <is>
          <t>Joy is unwell. Suggest two possible cover options.</t>
        </is>
      </c>
    </row>
    <row r="5" ht="15" customHeight="1" s="45">
      <c r="A5" s="67" t="n"/>
      <c r="B5" s="67" t="n"/>
      <c r="C5" s="67" t="n"/>
      <c r="D5" s="67" t="n"/>
      <c r="E5" s="67" t="n"/>
      <c r="F5" s="67" t="n"/>
    </row>
    <row r="6" ht="15" customHeight="1" s="45">
      <c r="A6" s="67" t="n"/>
      <c r="B6" s="67" t="n"/>
      <c r="C6" s="67" t="n"/>
      <c r="D6" s="67" t="n"/>
      <c r="E6" s="67" t="n"/>
      <c r="F6" s="67" t="n"/>
    </row>
    <row r="7" ht="15" customHeight="1" s="45">
      <c r="A7" s="67" t="n"/>
      <c r="B7" s="67" t="n"/>
      <c r="C7" s="67" t="n"/>
      <c r="D7" s="67" t="n"/>
      <c r="E7" s="67" t="n"/>
      <c r="F7" s="67" t="n"/>
    </row>
    <row r="8" ht="15" customHeight="1" s="45">
      <c r="A8" s="67" t="n"/>
      <c r="B8" s="67" t="n"/>
      <c r="C8" s="67" t="n"/>
      <c r="D8" s="67" t="n"/>
      <c r="E8" s="67" t="n"/>
      <c r="F8" s="67" t="n"/>
    </row>
    <row r="9" ht="15" customHeight="1" s="45">
      <c r="A9" s="67" t="n"/>
      <c r="B9" s="67" t="n"/>
      <c r="C9" s="67" t="n"/>
      <c r="D9" s="67" t="n"/>
      <c r="E9" s="67" t="n"/>
      <c r="F9" s="67" t="n"/>
    </row>
    <row r="10" ht="15" customHeight="1" s="45">
      <c r="A10" s="67" t="n"/>
      <c r="B10" s="67" t="n"/>
      <c r="C10" s="67" t="n"/>
      <c r="D10" s="67" t="n"/>
      <c r="E10" s="67" t="n"/>
      <c r="F10" s="67" t="n"/>
    </row>
    <row r="11" ht="15" customHeight="1" s="45">
      <c r="A11" s="67" t="n"/>
      <c r="B11" s="67" t="n"/>
      <c r="C11" s="67" t="n"/>
      <c r="D11" s="67" t="n"/>
      <c r="E11" s="67" t="n"/>
      <c r="F11" s="67" t="n"/>
    </row>
    <row r="12" ht="15" customHeight="1" s="45">
      <c r="A12" s="67" t="n"/>
      <c r="B12" s="67" t="n"/>
      <c r="C12" s="67" t="n"/>
      <c r="D12" s="67" t="n"/>
      <c r="E12" s="67" t="n"/>
      <c r="F12" s="67" t="n"/>
    </row>
    <row r="13" ht="15" customHeight="1" s="45">
      <c r="A13" s="67" t="n"/>
      <c r="B13" s="67" t="n"/>
      <c r="C13" s="67" t="n"/>
      <c r="D13" s="67" t="n"/>
      <c r="E13" s="67" t="n"/>
      <c r="F13" s="67" t="n"/>
    </row>
    <row r="14" ht="15" customHeight="1" s="45">
      <c r="A14" s="67" t="n"/>
      <c r="B14" s="67" t="n"/>
      <c r="C14" s="67" t="n"/>
      <c r="D14" s="67" t="n"/>
      <c r="E14" s="67" t="n"/>
      <c r="F14" s="67" t="n"/>
    </row>
    <row r="15" ht="15" customHeight="1" s="45">
      <c r="A15" s="65" t="n"/>
      <c r="B15" s="65" t="n"/>
      <c r="C15" s="65" t="n"/>
      <c r="D15" s="65" t="n"/>
      <c r="E15" s="65" t="n"/>
      <c r="F15" s="65" t="n"/>
    </row>
    <row r="16" ht="15" customHeight="1" s="45">
      <c r="A16" s="65" t="n"/>
      <c r="B16" s="65" t="n"/>
      <c r="C16" s="65" t="n"/>
      <c r="D16" s="65" t="n"/>
      <c r="E16" s="65" t="n"/>
      <c r="F16" s="65" t="n"/>
    </row>
    <row r="17" ht="15" customHeight="1" s="45">
      <c r="A17" s="65" t="n"/>
      <c r="B17" s="65" t="n"/>
      <c r="C17" s="65" t="n"/>
      <c r="D17" s="65" t="n"/>
      <c r="E17" s="65" t="n"/>
      <c r="F17" s="65" t="n"/>
    </row>
    <row r="18" ht="15" customHeight="1" s="45">
      <c r="A18" s="65" t="n"/>
      <c r="B18" s="65" t="n"/>
      <c r="C18" s="65" t="n"/>
      <c r="D18" s="65" t="n"/>
      <c r="E18" s="65" t="n"/>
      <c r="F18" s="65" t="n"/>
    </row>
    <row r="19" ht="15" customHeight="1" s="45">
      <c r="A19" s="65" t="n"/>
      <c r="B19" s="65" t="n"/>
      <c r="C19" s="65" t="n"/>
      <c r="D19" s="65" t="n"/>
      <c r="E19" s="65" t="n"/>
      <c r="F19" s="65" t="n"/>
    </row>
    <row r="20" ht="15" customHeight="1" s="45">
      <c r="A20" s="65" t="n"/>
      <c r="B20" s="65" t="n"/>
      <c r="C20" s="65" t="n"/>
      <c r="D20" s="65" t="n"/>
      <c r="E20" s="65" t="n"/>
      <c r="F20" s="65" t="n"/>
    </row>
    <row r="21" ht="15" customHeight="1" s="45">
      <c r="A21" s="65" t="n"/>
      <c r="B21" s="65" t="n"/>
      <c r="C21" s="65" t="n"/>
      <c r="D21" s="65" t="n"/>
      <c r="E21" s="65" t="n"/>
      <c r="F21" s="65" t="n"/>
    </row>
    <row r="22" ht="15" customHeight="1" s="45">
      <c r="A22" s="65" t="n"/>
      <c r="B22" s="65" t="n"/>
      <c r="C22" s="65" t="n"/>
      <c r="D22" s="65" t="n"/>
      <c r="E22" s="65" t="n"/>
      <c r="F22" s="65" t="n"/>
    </row>
    <row r="23" ht="15" customHeight="1" s="45">
      <c r="A23" s="65" t="n"/>
      <c r="B23" s="65" t="n"/>
      <c r="C23" s="65" t="n"/>
      <c r="D23" s="65" t="n"/>
      <c r="E23" s="65" t="n"/>
      <c r="F23" s="65" t="n"/>
    </row>
    <row r="24" ht="15" customHeight="1" s="45">
      <c r="A24" s="65" t="n"/>
      <c r="B24" s="65" t="n"/>
      <c r="C24" s="65" t="n"/>
      <c r="D24" s="65" t="n"/>
      <c r="E24" s="65" t="n"/>
      <c r="F24" s="65" t="n"/>
    </row>
  </sheetData>
  <dataValidations count="1">
    <dataValidation sqref="E5:E24" showDropDown="0" showInputMessage="0" showErrorMessage="0" allowBlank="1" type="list" errorStyle="stop" operator="between">
      <formula1>"To do,In progress,Waiting on someone,Done"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M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7" customWidth="1" style="44" min="2" max="2"/>
    <col width="11" customWidth="1" style="44" min="3" max="5"/>
    <col width="42" customWidth="1" style="44" min="6" max="6"/>
    <col width="36" customWidth="1" style="44" min="7" max="7"/>
    <col width="38" customWidth="1" style="44" min="8" max="8"/>
    <col width="14" customWidth="1" style="44" min="9" max="9"/>
    <col width="27" customWidth="1" style="44" min="10" max="10"/>
    <col width="39" customWidth="1" style="44" min="11" max="11"/>
    <col width="11" customWidth="1" style="44" min="12" max="12"/>
    <col width="14" customWidth="1" style="44" min="13" max="13"/>
  </cols>
  <sheetData>
    <row r="1" ht="17.25" customHeight="1" s="45">
      <c r="A1" s="58" t="inlineStr">
        <is>
          <t>Incident log (fictional)</t>
        </is>
      </c>
    </row>
    <row r="2" ht="15" customHeight="1" s="45">
      <c r="A2" s="59" t="inlineStr">
        <is>
          <t>Record only what was reported, in plain facts. You do NOT decide whether an incident is reportable. The manager fills in that column. The grey row is an example.</t>
        </is>
      </c>
    </row>
    <row r="3" ht="33.75" customHeight="1" s="45">
      <c r="A3" s="60" t="inlineStr">
        <is>
          <t>Log ID</t>
        </is>
      </c>
      <c r="B3" s="60" t="inlineStr">
        <is>
          <t>Date and time of incident</t>
        </is>
      </c>
      <c r="C3" s="60" t="inlineStr">
        <is>
          <t>Site</t>
        </is>
      </c>
      <c r="D3" s="60" t="inlineStr">
        <is>
          <t>Participant ID</t>
        </is>
      </c>
      <c r="E3" s="60" t="inlineStr">
        <is>
          <t>Worker ID</t>
        </is>
      </c>
      <c r="F3" s="60" t="inlineStr">
        <is>
          <t>What was reported (facts only)</t>
        </is>
      </c>
      <c r="G3" s="60" t="inlineStr">
        <is>
          <t>Type, as described by the reporter</t>
        </is>
      </c>
      <c r="H3" s="60" t="inlineStr">
        <is>
          <t>Immediate actions, as reported</t>
        </is>
      </c>
      <c r="I3" s="60" t="inlineStr">
        <is>
          <t>Escalated to</t>
        </is>
      </c>
      <c r="J3" s="60" t="inlineStr">
        <is>
          <t>Date and time escalated</t>
        </is>
      </c>
      <c r="K3" s="60" t="inlineStr">
        <is>
          <t>Manager's decision (manager fills in)</t>
        </is>
      </c>
      <c r="L3" s="60" t="inlineStr">
        <is>
          <t>Status</t>
        </is>
      </c>
      <c r="M3" s="60" t="inlineStr">
        <is>
          <t>Notes</t>
        </is>
      </c>
    </row>
    <row r="4" ht="23.25" customHeight="1" s="45">
      <c r="A4" s="72" t="inlineStr">
        <is>
          <t>EX-001</t>
        </is>
      </c>
      <c r="B4" s="72" t="inlineStr">
        <is>
          <t>Tue 20 Oct 2026, 11:30 am</t>
        </is>
      </c>
      <c r="C4" s="72" t="inlineStr">
        <is>
          <t>Melbourne</t>
        </is>
      </c>
      <c r="D4" s="72" t="inlineStr">
        <is>
          <t>P02</t>
        </is>
      </c>
      <c r="E4" s="72" t="inlineStr">
        <is>
          <t>W10</t>
        </is>
      </c>
      <c r="F4" s="72" t="inlineStr">
        <is>
          <t>Worker reported that a cup was dropped and broken in the kitchen. No one was hurt.</t>
        </is>
      </c>
      <c r="G4" s="72" t="inlineStr">
        <is>
          <t>Minor property damage</t>
        </is>
      </c>
      <c r="H4" s="72" t="inlineStr">
        <is>
          <t>Worker cleaned up the pieces safely.</t>
        </is>
      </c>
      <c r="I4" s="72" t="inlineStr">
        <is>
          <t>Rhonda Blake</t>
        </is>
      </c>
      <c r="J4" s="72" t="inlineStr">
        <is>
          <t>Tue 20 Oct 2026, 11:50 am</t>
        </is>
      </c>
      <c r="K4" s="74" t="n"/>
      <c r="L4" s="72" t="inlineStr">
        <is>
          <t>Escalated</t>
        </is>
      </c>
      <c r="M4" s="72" t="inlineStr">
        <is>
          <t>Example only</t>
        </is>
      </c>
    </row>
    <row r="5" ht="15" customHeight="1" s="45">
      <c r="A5" s="67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5" t="n"/>
      <c r="L5" s="67" t="n"/>
      <c r="M5" s="67" t="n"/>
    </row>
    <row r="6" ht="15" customHeight="1" s="45">
      <c r="A6" s="67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5" t="n"/>
      <c r="L6" s="67" t="n"/>
      <c r="M6" s="67" t="n"/>
    </row>
    <row r="7" ht="15" customHeight="1" s="45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5" t="n"/>
      <c r="L7" s="67" t="n"/>
      <c r="M7" s="67" t="n"/>
    </row>
    <row r="8" ht="15" customHeight="1" s="45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5" t="n"/>
      <c r="L8" s="67" t="n"/>
      <c r="M8" s="67" t="n"/>
    </row>
    <row r="9" ht="15" customHeight="1" s="45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  <c r="K9" s="65" t="n"/>
      <c r="L9" s="67" t="n"/>
      <c r="M9" s="67" t="n"/>
    </row>
    <row r="10" ht="15" customHeight="1" s="45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5" t="n"/>
      <c r="L10" s="67" t="n"/>
      <c r="M10" s="67" t="n"/>
    </row>
    <row r="11" ht="15" customHeight="1" s="45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5" t="n"/>
      <c r="L11" s="67" t="n"/>
      <c r="M11" s="67" t="n"/>
    </row>
    <row r="12" ht="15" customHeight="1" s="45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5" t="n"/>
      <c r="L12" s="67" t="n"/>
      <c r="M12" s="67" t="n"/>
    </row>
    <row r="13" ht="15" customHeight="1" s="45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5" t="n"/>
      <c r="L13" s="67" t="n"/>
      <c r="M13" s="67" t="n"/>
    </row>
    <row r="14" ht="15" customHeight="1" s="45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5" t="n"/>
      <c r="L14" s="67" t="n"/>
      <c r="M14" s="67" t="n"/>
    </row>
  </sheetData>
  <dataValidations count="1">
    <dataValidation sqref="L5:L14" showDropDown="0" showInputMessage="0" showErrorMessage="0" allowBlank="1" type="list" errorStyle="stop" operator="between">
      <formula1>"Open,Escalated,Closed"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K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1" customWidth="1" style="44" min="2" max="2"/>
    <col width="14" customWidth="1" style="44" min="3" max="3"/>
    <col width="19" customWidth="1" style="44" min="4" max="4"/>
    <col width="24" customWidth="1" style="44" min="5" max="5"/>
    <col width="42" customWidth="1" style="44" min="6" max="7"/>
    <col width="14" customWidth="1" style="44" min="8" max="8"/>
    <col width="21" customWidth="1" style="44" min="9" max="9"/>
    <col width="11" customWidth="1" style="44" min="10" max="10"/>
    <col width="28" customWidth="1" style="44" min="11" max="11"/>
  </cols>
  <sheetData>
    <row r="1" ht="17.25" customHeight="1" s="45">
      <c r="A1" s="58" t="inlineStr">
        <is>
          <t>Complaints log (fictional)</t>
        </is>
      </c>
    </row>
    <row r="2" ht="15" customHeight="1" s="45">
      <c r="A2" s="59" t="inlineStr">
        <is>
          <t>Record the complaint neutrally and pass it on. Don't judge whether it is justified. The grey row is an example.</t>
        </is>
      </c>
    </row>
    <row r="3" ht="33.75" customHeight="1" s="45">
      <c r="A3" s="60" t="inlineStr">
        <is>
          <t>Log ID</t>
        </is>
      </c>
      <c r="B3" s="60" t="inlineStr">
        <is>
          <t>Date received</t>
        </is>
      </c>
      <c r="C3" s="60" t="inlineStr">
        <is>
          <t>How received</t>
        </is>
      </c>
      <c r="D3" s="60" t="inlineStr">
        <is>
          <t>Complainant</t>
        </is>
      </c>
      <c r="E3" s="60" t="inlineStr">
        <is>
          <t>Related participant ID</t>
        </is>
      </c>
      <c r="F3" s="60" t="inlineStr">
        <is>
          <t>Summary (neutral wording)</t>
        </is>
      </c>
      <c r="G3" s="60" t="inlineStr">
        <is>
          <t>Immediate action</t>
        </is>
      </c>
      <c r="H3" s="60" t="inlineStr">
        <is>
          <t>Escalated to</t>
        </is>
      </c>
      <c r="I3" s="60" t="inlineStr">
        <is>
          <t>Date escalated</t>
        </is>
      </c>
      <c r="J3" s="60" t="inlineStr">
        <is>
          <t>Status</t>
        </is>
      </c>
      <c r="K3" s="60" t="inlineStr">
        <is>
          <t>Outcome (manager fills in)</t>
        </is>
      </c>
    </row>
    <row r="4" ht="23.25" customHeight="1" s="45">
      <c r="A4" s="72" t="inlineStr">
        <is>
          <t>EX-001</t>
        </is>
      </c>
      <c r="B4" s="73" t="n">
        <v>46314</v>
      </c>
      <c r="C4" s="72" t="inlineStr">
        <is>
          <t>Email</t>
        </is>
      </c>
      <c r="D4" s="72" t="inlineStr">
        <is>
          <t>Participant (P05)</t>
        </is>
      </c>
      <c r="E4" s="72" t="inlineStr">
        <is>
          <t>P05</t>
        </is>
      </c>
      <c r="F4" s="72" t="inlineStr">
        <is>
          <t>Participant says the roster change was not communicated before the shift.</t>
        </is>
      </c>
      <c r="G4" s="72" t="inlineStr">
        <is>
          <t>Acknowledged receipt and passed to the manager.</t>
        </is>
      </c>
      <c r="H4" s="72" t="inlineStr">
        <is>
          <t>Rhonda Blake</t>
        </is>
      </c>
      <c r="I4" s="73" t="n">
        <v>46314</v>
      </c>
      <c r="J4" s="72" t="inlineStr">
        <is>
          <t>Escalated</t>
        </is>
      </c>
      <c r="K4" s="74" t="n"/>
    </row>
    <row r="5" ht="15" customHeight="1" s="45">
      <c r="A5" s="67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5" t="n"/>
    </row>
    <row r="6" ht="15" customHeight="1" s="45">
      <c r="A6" s="67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5" t="n"/>
    </row>
    <row r="7" ht="15" customHeight="1" s="45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5" t="n"/>
    </row>
    <row r="8" ht="15" customHeight="1" s="45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5" t="n"/>
    </row>
    <row r="9" ht="15" customHeight="1" s="45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  <c r="K9" s="65" t="n"/>
    </row>
    <row r="10" ht="15" customHeight="1" s="45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5" t="n"/>
    </row>
    <row r="11" ht="15" customHeight="1" s="45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5" t="n"/>
    </row>
    <row r="12" ht="15" customHeight="1" s="45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5" t="n"/>
    </row>
    <row r="13" ht="15" customHeight="1" s="45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5" t="n"/>
    </row>
    <row r="14" ht="15" customHeight="1" s="45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5" t="n"/>
    </row>
  </sheetData>
  <dataValidations count="1">
    <dataValidation sqref="J5:J14" showDropDown="0" showInputMessage="0" showErrorMessage="0" allowBlank="1" type="list" errorStyle="stop" operator="between">
      <formula1>"Open,Escalated,Closed"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K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4" customWidth="1" style="44" min="2" max="2"/>
    <col width="42" customWidth="1" style="44" min="3" max="3"/>
    <col width="14" customWidth="1" style="44" min="4" max="4"/>
    <col width="42" customWidth="1" style="44" min="5" max="5"/>
    <col width="21" customWidth="1" style="44" min="6" max="6"/>
    <col width="42" customWidth="1" style="44" min="7" max="7"/>
    <col width="18" customWidth="1" style="44" min="8" max="8"/>
    <col width="42" customWidth="1" style="44" min="9" max="9"/>
    <col width="10" customWidth="1" style="44" min="10" max="10"/>
    <col width="15" customWidth="1" style="44" min="11" max="11"/>
  </cols>
  <sheetData>
    <row r="1" ht="19.5" customHeight="1" s="45">
      <c r="A1" s="58" t="inlineStr">
        <is>
          <t>Follow-Up &amp; Handover Log</t>
        </is>
      </c>
    </row>
    <row r="2" ht="15" customHeight="1" s="45">
      <c r="A2" s="75" t="inlineStr">
        <is>
          <t>Use for open practice work. Sending a message is not automatically closure.</t>
        </is>
      </c>
    </row>
    <row r="4" ht="15" customHeight="1" s="45">
      <c r="A4" s="76" t="inlineStr">
        <is>
          <t>Task ID</t>
        </is>
      </c>
      <c r="B4" s="76" t="inlineStr">
        <is>
          <t>Related Item</t>
        </is>
      </c>
      <c r="C4" s="76" t="inlineStr">
        <is>
          <t>Outstanding Item</t>
        </is>
      </c>
      <c r="D4" s="76" t="inlineStr">
        <is>
          <t>Owner</t>
        </is>
      </c>
      <c r="E4" s="76" t="inlineStr">
        <is>
          <t>Next Action</t>
        </is>
      </c>
      <c r="F4" s="76" t="inlineStr">
        <is>
          <t>Channel</t>
        </is>
      </c>
      <c r="G4" s="76" t="inlineStr">
        <is>
          <t>Follow-Up Date/Trigger</t>
        </is>
      </c>
      <c r="H4" s="76" t="inlineStr">
        <is>
          <t>Response/Outcome</t>
        </is>
      </c>
      <c r="I4" s="76" t="inlineStr">
        <is>
          <t>Closure Condition</t>
        </is>
      </c>
      <c r="J4" s="76" t="inlineStr">
        <is>
          <t>Status</t>
        </is>
      </c>
      <c r="K4" s="76" t="inlineStr">
        <is>
          <t>Learner Notes</t>
        </is>
      </c>
    </row>
    <row r="5" ht="27.75" customHeight="1" s="45">
      <c r="A5" s="54" t="inlineStr">
        <is>
          <t>FU-001</t>
        </is>
      </c>
      <c r="B5" s="54" t="inlineStr">
        <is>
          <t>E16 / Roster</t>
        </is>
      </c>
      <c r="C5" s="54" t="inlineStr">
        <is>
          <t>Thursday 1:00–5:00 pm shift still needs a worker</t>
        </is>
      </c>
      <c r="D5" s="54" t="inlineStr">
        <is>
          <t>Rhonda Blake</t>
        </is>
      </c>
      <c r="E5" s="54" t="inlineStr">
        <is>
          <t>Review the two feasible cover options and confirm the preferred option</t>
        </is>
      </c>
      <c r="F5" s="54" t="inlineStr">
        <is>
          <t>Email</t>
        </is>
      </c>
      <c r="G5" s="54" t="inlineStr">
        <is>
          <t>Before the affected shift / earlier if the owner responds</t>
        </is>
      </c>
      <c r="H5" s="77" t="n"/>
      <c r="I5" s="54" t="inlineStr">
        <is>
          <t>Owner decision is recorded and the roster is updated or formally handed off.</t>
        </is>
      </c>
      <c r="J5" s="54" t="inlineStr">
        <is>
          <t>Open</t>
        </is>
      </c>
      <c r="K5" s="77" t="n"/>
    </row>
    <row r="6" ht="27.75" customHeight="1" s="45">
      <c r="A6" s="77" t="n"/>
      <c r="B6" s="77" t="n"/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</row>
    <row r="7" ht="27.75" customHeight="1" s="45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7" t="n"/>
    </row>
    <row r="8" ht="27.75" customHeight="1" s="45">
      <c r="A8" s="77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</row>
  </sheetData>
  <autoFilter ref="A4:K23"/>
  <mergeCells count="2">
    <mergeCell ref="A2:K2"/>
    <mergeCell ref="A1:K1"/>
  </mergeCells>
  <dataValidations count="1">
    <dataValidation sqref="J5:J23" showDropDown="0" showInputMessage="0" showErrorMessage="0" allowBlank="1" type="list" errorStyle="stop" operator="between">
      <formula1>"Open,Waiting on someone,Follow up due,Closed"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0" customWidth="1" style="44" min="2" max="2"/>
    <col width="42" customWidth="1" style="44" min="3" max="4"/>
    <col width="21" customWidth="1" style="44" min="5" max="5"/>
    <col width="29" customWidth="1" style="44" min="6" max="6"/>
    <col width="21" customWidth="1" style="44" min="7" max="7"/>
  </cols>
  <sheetData>
    <row r="1" ht="19.5" customHeight="1" s="45">
      <c r="A1" s="58" t="inlineStr">
        <is>
          <t>Security &amp; Access Extensions</t>
        </is>
      </c>
    </row>
    <row r="2" ht="15" customHeight="1" s="45">
      <c r="A2" s="75" t="inlineStr">
        <is>
          <t>Fictional practice scenarios for M12/M14. Real participant information belongs in provider-authorized workflows.</t>
        </is>
      </c>
    </row>
    <row r="3" ht="15" customHeight="1" s="45">
      <c r="A3" s="78" t="inlineStr">
        <is>
          <t>Scenario ID</t>
        </is>
      </c>
      <c r="B3" s="78" t="inlineStr">
        <is>
          <t>Module</t>
        </is>
      </c>
      <c r="C3" s="78" t="inlineStr">
        <is>
          <t>Scenario</t>
        </is>
      </c>
      <c r="D3" s="78" t="inlineStr">
        <is>
          <t>Learner Task</t>
        </is>
      </c>
      <c r="E3" s="78" t="inlineStr">
        <is>
          <t>Your Classification</t>
        </is>
      </c>
      <c r="F3" s="78" t="inlineStr">
        <is>
          <t>Your Safe Action / Boundary</t>
        </is>
      </c>
      <c r="G3" s="78" t="inlineStr">
        <is>
          <t>Follow-Up / Closure</t>
        </is>
      </c>
    </row>
    <row r="4" ht="15" customHeight="1" s="45">
      <c r="A4" s="54" t="inlineStr">
        <is>
          <t>Scenario ID</t>
        </is>
      </c>
      <c r="B4" s="54" t="inlineStr">
        <is>
          <t>Module</t>
        </is>
      </c>
      <c r="C4" s="54" t="inlineStr">
        <is>
          <t>Scenario</t>
        </is>
      </c>
      <c r="D4" s="54" t="inlineStr">
        <is>
          <t>Learner Task</t>
        </is>
      </c>
    </row>
    <row r="5" ht="41.25" customHeight="1" s="45">
      <c r="A5" s="54" t="inlineStr">
        <is>
          <t>SEC-01</t>
        </is>
      </c>
      <c r="B5" s="54" t="inlineStr">
        <is>
          <t>M12</t>
        </is>
      </c>
      <c r="C5" s="54" t="inlineStr">
        <is>
          <t>A staff member asks you to paste a participant's message into a free public AI tool.</t>
        </is>
      </c>
      <c r="D5" s="54" t="inlineStr">
        <is>
          <t>Write the safe response and state what you will do next.</t>
        </is>
      </c>
      <c r="E5" s="77" t="n"/>
      <c r="F5" s="77" t="n"/>
      <c r="G5" s="77" t="n"/>
    </row>
    <row r="6" ht="41.25" customHeight="1" s="45">
      <c r="A6" s="54" t="inlineStr">
        <is>
          <t>SEC-02</t>
        </is>
      </c>
      <c r="B6" s="54" t="inlineStr">
        <is>
          <t>M12</t>
        </is>
      </c>
      <c r="C6" s="54" t="inlineStr">
        <is>
          <t>A roster containing participant names is accidentally emailed to the wrong recipient.</t>
        </is>
      </c>
      <c r="D6" s="54" t="inlineStr">
        <is>
          <t>List immediate containment and handoff steps.</t>
        </is>
      </c>
      <c r="E6" s="77" t="n"/>
      <c r="F6" s="77" t="n"/>
      <c r="G6" s="77" t="n"/>
    </row>
    <row r="7" ht="41.25" customHeight="1" s="45">
      <c r="A7" s="54" t="inlineStr">
        <is>
          <t>SEC-03</t>
        </is>
      </c>
      <c r="B7" s="54" t="inlineStr">
        <is>
          <t>M14</t>
        </is>
      </c>
      <c r="C7" s="54" t="inlineStr">
        <is>
          <t>A fictional system asks you to use a supervisor's login because your account has not been created.</t>
        </is>
      </c>
      <c r="D7" s="54" t="inlineStr">
        <is>
          <t>State how you proceed.</t>
        </is>
      </c>
      <c r="E7" s="77" t="n"/>
      <c r="F7" s="77" t="n"/>
      <c r="G7" s="77" t="n"/>
    </row>
    <row r="8" ht="41.25" customHeight="1" s="45">
      <c r="A8" s="54" t="inlineStr">
        <is>
          <t>SEC-04</t>
        </is>
      </c>
      <c r="B8" s="54" t="inlineStr">
        <is>
          <t>M12</t>
        </is>
      </c>
      <c r="C8" s="54" t="inlineStr">
        <is>
          <t>A client asks you to download participant files to your personal Google Drive so you can work faster.</t>
        </is>
      </c>
      <c r="D8" s="54" t="inlineStr">
        <is>
          <t>Respond and identify the correct workflow.</t>
        </is>
      </c>
      <c r="E8" s="77" t="n"/>
      <c r="F8" s="77" t="n"/>
      <c r="G8" s="77" t="n"/>
    </row>
  </sheetData>
  <autoFilter ref="A4:G8"/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3"/>
  </cols>
  <sheetData>
    <row r="1" ht="19.5" customHeight="1" s="45">
      <c r="A1" s="58" t="inlineStr">
        <is>
          <t>M6 — Wattlebird Fictional Participant Plan</t>
        </is>
      </c>
    </row>
    <row r="2" ht="15" customHeight="1" s="45">
      <c r="A2" s="75" t="inlineStr">
        <is>
          <t>FICTIONAL TRAINING DOCUMENT — NOT AN NDIS PLAN. Values and labels are invented for practice.</t>
        </is>
      </c>
    </row>
    <row r="4" ht="15" customHeight="1" s="45">
      <c r="A4" s="76" t="inlineStr">
        <is>
          <t>Field</t>
        </is>
      </c>
      <c r="B4" s="76" t="inlineStr">
        <is>
          <t>Value</t>
        </is>
      </c>
      <c r="C4" s="76" t="inlineStr">
        <is>
          <t>Practice Note</t>
        </is>
      </c>
    </row>
    <row r="5" ht="15" customHeight="1" s="45">
      <c r="A5" s="54" t="inlineStr">
        <is>
          <t>Participant</t>
        </is>
      </c>
      <c r="B5" s="54" t="inlineStr">
        <is>
          <t>Liam Dawson (P13)</t>
        </is>
      </c>
      <c r="C5" s="54" t="inlineStr">
        <is>
          <t>Fictional participant created for M6 practice.</t>
        </is>
      </c>
    </row>
    <row r="6" ht="15" customHeight="1" s="45">
      <c r="A6" s="54" t="inlineStr">
        <is>
          <t>Site</t>
        </is>
      </c>
      <c r="B6" s="54" t="inlineStr">
        <is>
          <t>Melbourne</t>
        </is>
      </c>
      <c r="C6" s="54" t="inlineStr">
        <is>
          <t>Use site/time-zone information only for practice.</t>
        </is>
      </c>
    </row>
    <row r="7" ht="27.75" customHeight="1" s="45">
      <c r="A7" s="54" t="inlineStr">
        <is>
          <t>Plan management</t>
        </is>
      </c>
      <c r="B7" s="54" t="inlineStr">
        <is>
          <t>Plan-managed</t>
        </is>
      </c>
      <c r="C7" s="54" t="inlineStr">
        <is>
          <t>Learner must identify management type before applying fictional pricing logic.</t>
        </is>
      </c>
    </row>
    <row r="8" ht="15" customHeight="1" s="45">
      <c r="A8" s="54" t="inlineStr">
        <is>
          <t>Plan period</t>
        </is>
      </c>
      <c r="B8" s="54" t="inlineStr">
        <is>
          <t>01/10/2026–30/09/2027</t>
        </is>
      </c>
      <c r="C8" s="54" t="inlineStr">
        <is>
          <t>Fictional dates.</t>
        </is>
      </c>
    </row>
    <row r="9" ht="15" customHeight="1" s="45">
      <c r="A9" s="54" t="inlineStr">
        <is>
          <t>Support budget 1</t>
        </is>
      </c>
      <c r="B9" s="54" t="inlineStr">
        <is>
          <t>Core Supports</t>
        </is>
      </c>
      <c r="C9" s="54" t="inlineStr">
        <is>
          <t>Fictional budget label.</t>
        </is>
      </c>
    </row>
    <row r="10" ht="15" customHeight="1" s="45">
      <c r="A10" s="54" t="inlineStr">
        <is>
          <t>Core allocation</t>
        </is>
      </c>
      <c r="B10" s="54" t="inlineStr">
        <is>
          <t>AUD 18,000</t>
        </is>
      </c>
      <c r="C10" s="54" t="inlineStr">
        <is>
          <t>Fictional amount.</t>
        </is>
      </c>
    </row>
    <row r="11" ht="15" customHeight="1" s="45">
      <c r="A11" s="54" t="inlineStr">
        <is>
          <t>Support budget 2</t>
        </is>
      </c>
      <c r="B11" s="54" t="inlineStr">
        <is>
          <t>Capacity Building Supports</t>
        </is>
      </c>
      <c r="C11" s="54" t="inlineStr">
        <is>
          <t>Fictional budget label.</t>
        </is>
      </c>
    </row>
    <row r="12" ht="15" customHeight="1" s="45">
      <c r="A12" s="54" t="inlineStr">
        <is>
          <t>Capacity Building allocation</t>
        </is>
      </c>
      <c r="B12" s="54" t="inlineStr">
        <is>
          <t>AUD 9,500</t>
        </is>
      </c>
      <c r="C12" s="54" t="inlineStr">
        <is>
          <t>Fictional amount.</t>
        </is>
      </c>
    </row>
    <row r="13" ht="15" customHeight="1" s="45">
      <c r="A13" s="54" t="inlineStr">
        <is>
          <t>Capital Supports</t>
        </is>
      </c>
      <c r="B13" s="54" t="inlineStr">
        <is>
          <t>None in this practice plan</t>
        </is>
      </c>
      <c r="C13" s="54" t="inlineStr">
        <is>
          <t>Do not infer real eligibility.</t>
        </is>
      </c>
    </row>
    <row r="14" ht="15" customHeight="1" s="45">
      <c r="A14" s="54" t="inlineStr">
        <is>
          <t>Recurring Supports</t>
        </is>
      </c>
      <c r="B14" s="54" t="inlineStr">
        <is>
          <t>None in this practice plan</t>
        </is>
      </c>
      <c r="C14" s="54" t="inlineStr">
        <is>
          <t>Do not infer real eligibility.</t>
        </is>
      </c>
    </row>
    <row r="15" ht="15" customHeight="1" s="45">
      <c r="A15" s="54" t="inlineStr">
        <is>
          <t>Service agreement</t>
        </is>
      </c>
      <c r="B15" s="54" t="inlineStr">
        <is>
          <t>Draft — manager review required</t>
        </is>
      </c>
      <c r="C15" s="54" t="inlineStr">
        <is>
          <t>VA may prepare/track; manager approves.</t>
        </is>
      </c>
    </row>
    <row r="16" ht="27.75" customHeight="1" s="45">
      <c r="A16" s="54" t="inlineStr">
        <is>
          <t>Current task</t>
        </is>
      </c>
      <c r="B16" s="54" t="inlineStr">
        <is>
          <t>Match three sample support requests to fictional plan categories.</t>
        </is>
      </c>
      <c r="C16" s="54" t="inlineStr">
        <is>
          <t>Use this fictional plan only; real NDIS questions require current official verification.</t>
        </is>
      </c>
    </row>
    <row r="18" ht="15" customHeight="1" s="45">
      <c r="A18" s="54" t="inlineStr">
        <is>
          <t>Fictional category breakdown</t>
        </is>
      </c>
    </row>
    <row r="19" ht="15" customHeight="1" s="45">
      <c r="A19" s="54" t="inlineStr">
        <is>
          <t>Core Supports</t>
        </is>
      </c>
      <c r="B19" s="54" t="inlineStr">
        <is>
          <t>Daily living; community participation</t>
        </is>
      </c>
    </row>
    <row r="20" ht="27.75" customHeight="1" s="45">
      <c r="A20" s="54" t="inlineStr">
        <is>
          <t>Capacity Building</t>
        </is>
      </c>
      <c r="B20" s="54" t="inlineStr">
        <is>
          <t>Allied-health-related fictional administrative examples</t>
        </is>
      </c>
    </row>
    <row r="22" ht="15" customHeight="1" s="45">
      <c r="A22" s="54" t="inlineStr">
        <is>
          <t>Sample support requests</t>
        </is>
      </c>
    </row>
    <row r="23" ht="27.75" customHeight="1" s="45">
      <c r="A23" s="54" t="inlineStr">
        <is>
          <t>SR-01</t>
        </is>
      </c>
      <c r="B23" s="54" t="inlineStr">
        <is>
          <t>Weekly community access support</t>
        </is>
      </c>
      <c r="C23" s="54" t="inlineStr">
        <is>
          <t>Learner decides which fictional category is the closest administrative match.</t>
        </is>
      </c>
    </row>
    <row r="24" ht="41.25" customHeight="1" s="45">
      <c r="A24" s="54" t="inlineStr">
        <is>
          <t>SR-02</t>
        </is>
      </c>
      <c r="B24" s="54" t="inlineStr">
        <is>
          <t>Physiotherapy appointment</t>
        </is>
      </c>
      <c r="C24" s="54" t="inlineStr">
        <is>
          <t>Learner checks whether the fictional plan context contains enough information; do not infer clinical funding.</t>
        </is>
      </c>
    </row>
    <row r="25" ht="27.75" customHeight="1" s="45">
      <c r="A25" s="54" t="inlineStr">
        <is>
          <t>SR-03</t>
        </is>
      </c>
      <c r="B25" s="54" t="inlineStr">
        <is>
          <t>New support request with unclear category</t>
        </is>
      </c>
      <c r="C25" s="54" t="inlineStr">
        <is>
          <t>Learner identifies the ambiguity and writes a clarification question.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21" customWidth="1" style="44" min="3" max="3"/>
    <col width="18" customWidth="1" style="44" min="4" max="4"/>
    <col width="20" customWidth="1" style="44" min="5" max="5"/>
    <col width="24" customWidth="1" style="44" min="6" max="6"/>
    <col width="19" customWidth="1" style="44" min="7" max="8"/>
    <col width="10" customWidth="1" style="44" min="9" max="9"/>
  </cols>
  <sheetData>
    <row r="1" ht="19.5" customHeight="1" s="45">
      <c r="A1" s="58" t="inlineStr">
        <is>
          <t>M7 — Who Handles This?</t>
        </is>
      </c>
    </row>
    <row r="2" ht="15" customHeight="1" s="45">
      <c r="A2" s="75" t="inlineStr">
        <is>
          <t>Ten fictional provider tickets. Identify owner, classification, next action, escalation path and follow-up.</t>
        </is>
      </c>
    </row>
    <row r="3" ht="15" customHeight="1" s="45">
      <c r="A3" s="78" t="inlineStr">
        <is>
          <t>Ticket ID</t>
        </is>
      </c>
      <c r="B3" s="78" t="inlineStr">
        <is>
          <t>Incoming Request</t>
        </is>
      </c>
      <c r="C3" s="78" t="inlineStr">
        <is>
          <t>Your Classification</t>
        </is>
      </c>
      <c r="D3" s="78" t="inlineStr">
        <is>
          <t>Your Next Action</t>
        </is>
      </c>
      <c r="E3" s="78" t="inlineStr">
        <is>
          <t>What Will You Ask?</t>
        </is>
      </c>
      <c r="F3" s="78" t="inlineStr">
        <is>
          <t>Who Needs the Handoff?</t>
        </is>
      </c>
      <c r="G3" s="78" t="inlineStr">
        <is>
          <t>Follow-Up Trigger</t>
        </is>
      </c>
      <c r="H3" s="78" t="inlineStr">
        <is>
          <t>Closure Condition</t>
        </is>
      </c>
    </row>
    <row r="4" ht="15" customHeight="1" s="45">
      <c r="A4" s="54" t="inlineStr">
        <is>
          <t>T01</t>
        </is>
      </c>
      <c r="B4" s="54" t="inlineStr">
        <is>
          <t>Worker is sick and cannot cover today's participant shift.</t>
        </is>
      </c>
      <c r="C4" s="77" t="n"/>
      <c r="D4" s="77" t="n"/>
      <c r="E4" s="77" t="n"/>
      <c r="F4" s="77" t="n"/>
      <c r="G4" s="77" t="n"/>
      <c r="H4" s="77" t="n"/>
    </row>
    <row r="5" ht="27.75" customHeight="1" s="45">
      <c r="A5" s="54" t="inlineStr">
        <is>
          <t>T02</t>
        </is>
      </c>
      <c r="B5" s="54" t="inlineStr">
        <is>
          <t>Two shifts appear to overlap for the same worker.</t>
        </is>
      </c>
      <c r="C5" s="77" t="n"/>
      <c r="D5" s="77" t="n"/>
      <c r="E5" s="77" t="n"/>
      <c r="F5" s="77" t="n"/>
      <c r="G5" s="77" t="n"/>
      <c r="H5" s="77" t="n"/>
    </row>
    <row r="6" ht="27.75" customHeight="1" s="45">
      <c r="A6" s="54" t="inlineStr">
        <is>
          <t>T03</t>
        </is>
      </c>
      <c r="B6" s="54" t="inlineStr">
        <is>
          <t>Family asks what NDIS will fund for a new referral.</t>
        </is>
      </c>
      <c r="C6" s="77" t="n"/>
      <c r="D6" s="77" t="n"/>
      <c r="E6" s="77" t="n"/>
      <c r="F6" s="77" t="n"/>
      <c r="G6" s="77" t="n"/>
      <c r="H6" s="77" t="n"/>
    </row>
    <row r="7" ht="27.75" customHeight="1" s="45">
      <c r="A7" s="54" t="inlineStr">
        <is>
          <t>T04</t>
        </is>
      </c>
      <c r="B7" s="54" t="inlineStr">
        <is>
          <t>Plan manager asks VA to check an invoice batch.</t>
        </is>
      </c>
      <c r="C7" s="77" t="n"/>
      <c r="D7" s="77" t="n"/>
      <c r="E7" s="77" t="n"/>
      <c r="F7" s="77" t="n"/>
      <c r="G7" s="77" t="n"/>
      <c r="H7" s="77" t="n"/>
    </row>
    <row r="8" ht="27.75" customHeight="1" s="45">
      <c r="A8" s="54" t="inlineStr">
        <is>
          <t>T05</t>
        </is>
      </c>
      <c r="B8" s="54" t="inlineStr">
        <is>
          <t>Participant requests copies of all records.</t>
        </is>
      </c>
      <c r="C8" s="77" t="n"/>
      <c r="D8" s="77" t="n"/>
      <c r="E8" s="77" t="n"/>
      <c r="F8" s="77" t="n"/>
      <c r="G8" s="77" t="n"/>
      <c r="H8" s="77" t="n"/>
    </row>
    <row r="9" ht="27.75" customHeight="1" s="45">
      <c r="A9" s="54" t="inlineStr">
        <is>
          <t>T06</t>
        </is>
      </c>
      <c r="B9" s="54" t="inlineStr">
        <is>
          <t>Participant complains about repeated late worker arrivals.</t>
        </is>
      </c>
      <c r="C9" s="77" t="n"/>
      <c r="D9" s="77" t="n"/>
      <c r="E9" s="77" t="n"/>
      <c r="F9" s="77" t="n"/>
      <c r="G9" s="77" t="n"/>
      <c r="H9" s="77" t="n"/>
    </row>
    <row r="10" ht="27.75" customHeight="1" s="45">
      <c r="A10" s="54" t="inlineStr">
        <is>
          <t>T07</t>
        </is>
      </c>
      <c r="B10" s="54" t="inlineStr">
        <is>
          <t>Worker reports a participant injury during support.</t>
        </is>
      </c>
      <c r="C10" s="77" t="n"/>
      <c r="D10" s="77" t="n"/>
      <c r="E10" s="77" t="n"/>
      <c r="F10" s="77" t="n"/>
      <c r="G10" s="77" t="n"/>
      <c r="H10" s="77" t="n"/>
    </row>
    <row r="11" ht="27.75" customHeight="1" s="45">
      <c r="A11" s="54" t="inlineStr">
        <is>
          <t>T08</t>
        </is>
      </c>
      <c r="B11" s="54" t="inlineStr">
        <is>
          <t>Service agreement is due for renewal.</t>
        </is>
      </c>
      <c r="C11" s="77" t="n"/>
      <c r="D11" s="77" t="n"/>
      <c r="E11" s="77" t="n"/>
      <c r="F11" s="77" t="n"/>
      <c r="G11" s="77" t="n"/>
      <c r="H11" s="77" t="n"/>
    </row>
    <row r="12" ht="27.75" customHeight="1" s="45">
      <c r="A12" s="54" t="inlineStr">
        <is>
          <t>T09</t>
        </is>
      </c>
      <c r="B12" s="54" t="inlineStr">
        <is>
          <t>Worker screening status is expired or unclear.</t>
        </is>
      </c>
      <c r="C12" s="77" t="n"/>
      <c r="D12" s="77" t="n"/>
      <c r="E12" s="77" t="n"/>
      <c r="F12" s="77" t="n"/>
      <c r="G12" s="77" t="n"/>
      <c r="H12" s="77" t="n"/>
    </row>
    <row r="13" ht="27.75" customHeight="1" s="45">
      <c r="A13" s="54" t="inlineStr">
        <is>
          <t>T10</t>
        </is>
      </c>
      <c r="B13" s="54" t="inlineStr">
        <is>
          <t>Participant asks whether there is enough funding for future therapy.</t>
        </is>
      </c>
      <c r="C13" s="77" t="n"/>
      <c r="D13" s="77" t="n"/>
      <c r="E13" s="77" t="n"/>
      <c r="F13" s="77" t="n"/>
      <c r="G13" s="77" t="n"/>
      <c r="H13" s="77" t="n"/>
    </row>
    <row r="14" ht="27.75" customHeight="1" s="45"/>
  </sheetData>
  <autoFilter ref="A4:I14"/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38" customWidth="1" style="44" min="2" max="2"/>
    <col width="42" customWidth="1" style="44" min="3" max="3"/>
    <col width="30" customWidth="1" style="44" min="4" max="4"/>
    <col width="13" customWidth="1" style="44" min="5" max="5"/>
    <col width="37" customWidth="1" style="44" min="6" max="6"/>
    <col width="42" customWidth="1" style="44" min="7" max="7"/>
  </cols>
  <sheetData>
    <row r="1" ht="19.5" customHeight="1" s="45">
      <c r="A1" s="58" t="inlineStr">
        <is>
          <t>M10 — Wattlebird Participant Onboarding Checklist</t>
        </is>
      </c>
    </row>
    <row r="2" ht="15" customHeight="1" s="45">
      <c r="A2" s="75" t="inlineStr">
        <is>
          <t>FICTIONAL TRAINING TEMPLATE. VA prepares/tracks; authorized roles approve, negotiate, or decide.</t>
        </is>
      </c>
    </row>
    <row r="4" ht="15" customHeight="1" s="45">
      <c r="A4" s="76" t="inlineStr">
        <is>
          <t>Checklist ID</t>
        </is>
      </c>
      <c r="B4" s="76" t="inlineStr">
        <is>
          <t>Onboarding Step</t>
        </is>
      </c>
      <c r="C4" s="76" t="inlineStr">
        <is>
          <t>Evidence / Field</t>
        </is>
      </c>
      <c r="D4" s="76" t="inlineStr">
        <is>
          <t>Owner</t>
        </is>
      </c>
      <c r="E4" s="76" t="inlineStr">
        <is>
          <t>Status</t>
        </is>
      </c>
      <c r="F4" s="76" t="inlineStr">
        <is>
          <t>Follow-Up Trigger</t>
        </is>
      </c>
      <c r="G4" s="76" t="inlineStr">
        <is>
          <t>Closure Condition</t>
        </is>
      </c>
    </row>
    <row r="5" ht="15" customHeight="1" s="45">
      <c r="A5" s="54" t="inlineStr">
        <is>
          <t>ONB-01</t>
        </is>
      </c>
      <c r="B5" s="54" t="inlineStr">
        <is>
          <t>Referral received</t>
        </is>
      </c>
      <c r="C5" s="54" t="inlineStr">
        <is>
          <t>Referral date/source recorded</t>
        </is>
      </c>
      <c r="D5" s="54" t="inlineStr">
        <is>
          <t>VA</t>
        </is>
      </c>
      <c r="E5" s="54" t="inlineStr">
        <is>
          <t>Not started</t>
        </is>
      </c>
      <c r="F5" s="54" t="inlineStr">
        <is>
          <t>If intake information is incomplete</t>
        </is>
      </c>
      <c r="G5" s="54" t="inlineStr">
        <is>
          <t>Referral logged and owner assigned.</t>
        </is>
      </c>
    </row>
    <row r="6" ht="27.75" customHeight="1" s="45">
      <c r="A6" s="54" t="inlineStr">
        <is>
          <t>ONB-02</t>
        </is>
      </c>
      <c r="B6" s="54" t="inlineStr">
        <is>
          <t>Participant identity/contact details</t>
        </is>
      </c>
      <c r="C6" s="54" t="inlineStr">
        <is>
          <t>Name, preferred contact, site, emergency contact field if provider procedure requires</t>
        </is>
      </c>
      <c r="D6" s="54" t="inlineStr">
        <is>
          <t>VA</t>
        </is>
      </c>
      <c r="E6" s="54" t="inlineStr">
        <is>
          <t>Not started</t>
        </is>
      </c>
      <c r="F6" s="54" t="inlineStr">
        <is>
          <t>Missing/unclear field</t>
        </is>
      </c>
      <c r="G6" s="54" t="inlineStr">
        <is>
          <t>Required fields verified by authorized process.</t>
        </is>
      </c>
    </row>
    <row r="7" ht="15" customHeight="1" s="45">
      <c r="A7" s="54" t="inlineStr">
        <is>
          <t>ONB-03</t>
        </is>
      </c>
      <c r="B7" s="54" t="inlineStr">
        <is>
          <t>Consent/authority</t>
        </is>
      </c>
      <c r="C7" s="54" t="inlineStr">
        <is>
          <t>Provider's approved consent/authority record</t>
        </is>
      </c>
      <c r="D7" s="54" t="inlineStr">
        <is>
          <t>Authorized owner</t>
        </is>
      </c>
      <c r="E7" s="54" t="inlineStr">
        <is>
          <t>Not started</t>
        </is>
      </c>
      <c r="F7" s="54" t="inlineStr">
        <is>
          <t>Missing/expired/unclear authority</t>
        </is>
      </c>
      <c r="G7" s="54" t="inlineStr">
        <is>
          <t>Authorized owner confirms valid record.</t>
        </is>
      </c>
    </row>
    <row r="8" ht="27.75" customHeight="1" s="45">
      <c r="A8" s="54" t="inlineStr">
        <is>
          <t>ONB-04</t>
        </is>
      </c>
      <c r="B8" s="54" t="inlineStr">
        <is>
          <t>Management type / plan context</t>
        </is>
      </c>
      <c r="C8" s="54" t="inlineStr">
        <is>
          <t>Management type and current plan information where authorized</t>
        </is>
      </c>
      <c r="D8" s="54" t="inlineStr">
        <is>
          <t>VA / coordinator</t>
        </is>
      </c>
      <c r="E8" s="54" t="inlineStr">
        <is>
          <t>Not started</t>
        </is>
      </c>
      <c r="F8" s="54" t="inlineStr">
        <is>
          <t>Unclear or unavailable</t>
        </is>
      </c>
      <c r="G8" s="54" t="inlineStr">
        <is>
          <t>Authorized owner confirms context.</t>
        </is>
      </c>
    </row>
    <row r="9" ht="15" customHeight="1" s="45">
      <c r="A9" s="54" t="inlineStr">
        <is>
          <t>ONB-05</t>
        </is>
      </c>
      <c r="B9" s="54" t="inlineStr">
        <is>
          <t>Requested supports</t>
        </is>
      </c>
      <c r="C9" s="54" t="inlineStr">
        <is>
          <t>Support request summary</t>
        </is>
      </c>
      <c r="D9" s="54" t="inlineStr">
        <is>
          <t>VA</t>
        </is>
      </c>
      <c r="E9" s="54" t="inlineStr">
        <is>
          <t>Not started</t>
        </is>
      </c>
      <c r="F9" s="54" t="inlineStr">
        <is>
          <t>Clinical/funding question arises</t>
        </is>
      </c>
      <c r="G9" s="54" t="inlineStr">
        <is>
          <t>Support coordinator confirms scope.</t>
        </is>
      </c>
    </row>
    <row r="10" ht="15" customHeight="1" s="45">
      <c r="A10" s="54" t="inlineStr">
        <is>
          <t>ONB-06</t>
        </is>
      </c>
      <c r="B10" s="54" t="inlineStr">
        <is>
          <t>Service agreement</t>
        </is>
      </c>
      <c r="C10" s="54" t="inlineStr">
        <is>
          <t>Draft/service agreement status</t>
        </is>
      </c>
      <c r="D10" s="54" t="inlineStr">
        <is>
          <t>VA prepares; manager reviews</t>
        </is>
      </c>
      <c r="E10" s="54" t="inlineStr">
        <is>
          <t>Not started</t>
        </is>
      </c>
      <c r="F10" s="54" t="inlineStr">
        <is>
          <t>Agreement due or missing</t>
        </is>
      </c>
      <c r="G10" s="54" t="inlineStr">
        <is>
          <t>Authorized person approves/returns agreement.</t>
        </is>
      </c>
    </row>
    <row r="11" ht="27.75" customHeight="1" s="45">
      <c r="A11" s="54" t="inlineStr">
        <is>
          <t>ONB-07</t>
        </is>
      </c>
      <c r="B11" s="54" t="inlineStr">
        <is>
          <t>Roster/availability</t>
        </is>
      </c>
      <c r="C11" s="54" t="inlineStr">
        <is>
          <t>Preferred schedule and worker requirements</t>
        </is>
      </c>
      <c r="D11" s="54" t="inlineStr">
        <is>
          <t>VA</t>
        </is>
      </c>
      <c r="E11" s="54" t="inlineStr">
        <is>
          <t>Not started</t>
        </is>
      </c>
      <c r="F11" s="54" t="inlineStr">
        <is>
          <t>No suitable availability</t>
        </is>
      </c>
      <c r="G11" s="54" t="inlineStr">
        <is>
          <t>Manager/coordinator chooses from feasible options.</t>
        </is>
      </c>
    </row>
    <row r="12" ht="27.75" customHeight="1" s="45">
      <c r="A12" s="54" t="inlineStr">
        <is>
          <t>ONB-08</t>
        </is>
      </c>
      <c r="B12" s="54" t="inlineStr">
        <is>
          <t>Safety / incident flags</t>
        </is>
      </c>
      <c r="C12" s="54" t="inlineStr">
        <is>
          <t>Record reported facts; no independent risk assessment</t>
        </is>
      </c>
      <c r="D12" s="54" t="inlineStr">
        <is>
          <t>VA records; manager handles</t>
        </is>
      </c>
      <c r="E12" s="54" t="inlineStr">
        <is>
          <t>Not started</t>
        </is>
      </c>
      <c r="F12" s="54" t="inlineStr">
        <is>
          <t>Safety concern reported</t>
        </is>
      </c>
      <c r="G12" s="54" t="inlineStr">
        <is>
          <t>Responsible owner acknowledges and follows procedure.</t>
        </is>
      </c>
    </row>
    <row r="13" ht="15" customHeight="1" s="45">
      <c r="A13" s="54" t="inlineStr">
        <is>
          <t>ONB-09</t>
        </is>
      </c>
      <c r="B13" s="54" t="inlineStr">
        <is>
          <t>Welcome / communication</t>
        </is>
      </c>
      <c r="C13" s="54" t="inlineStr">
        <is>
          <t>Approved welcome communication</t>
        </is>
      </c>
      <c r="D13" s="54" t="inlineStr">
        <is>
          <t>VA drafts</t>
        </is>
      </c>
      <c r="E13" s="54" t="inlineStr">
        <is>
          <t>Not started</t>
        </is>
      </c>
      <c r="F13" s="54" t="inlineStr">
        <is>
          <t>Missing contact preference</t>
        </is>
      </c>
      <c r="G13" s="54" t="inlineStr">
        <is>
          <t>Approved communication sent and recorded.</t>
        </is>
      </c>
    </row>
    <row r="14" ht="27.75" customHeight="1" s="45">
      <c r="A14" s="54" t="inlineStr">
        <is>
          <t>ONB-10</t>
        </is>
      </c>
      <c r="B14" s="54" t="inlineStr">
        <is>
          <t>Handover / closure</t>
        </is>
      </c>
      <c r="C14" s="54" t="inlineStr">
        <is>
          <t>Handover note and outstanding items</t>
        </is>
      </c>
      <c r="D14" s="54" t="inlineStr">
        <is>
          <t>VA</t>
        </is>
      </c>
      <c r="E14" s="54" t="inlineStr">
        <is>
          <t>Not started</t>
        </is>
      </c>
      <c r="F14" s="54" t="inlineStr">
        <is>
          <t>Any open task remains</t>
        </is>
      </c>
      <c r="G14" s="54" t="inlineStr">
        <is>
          <t>Owner, next action, follow-up and closure condition recorded.</t>
        </is>
      </c>
    </row>
  </sheetData>
  <mergeCells count="2">
    <mergeCell ref="A2:G2"/>
    <mergeCell ref="A1:G1"/>
  </mergeCells>
  <dataValidations count="1">
    <dataValidation sqref="E5:E14" showDropDown="0" showInputMessage="0" showErrorMessage="0" allowBlank="1" type="list" errorStyle="stop" operator="between">
      <formula1>"Not started,In progress,Waiting on someone,Complete"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6" customWidth="1" style="44" min="2" max="2"/>
    <col width="42" customWidth="1" style="44" min="3" max="3"/>
    <col width="15" customWidth="1" style="44" min="4" max="4"/>
    <col width="36" customWidth="1" style="44" min="5" max="5"/>
  </cols>
  <sheetData>
    <row r="1" ht="19.5" customHeight="1" s="45">
      <c r="A1" s="58" t="inlineStr">
        <is>
          <t>M10 — Fictional Service Agreement Draft</t>
        </is>
      </c>
    </row>
    <row r="2" ht="15" customHeight="1" s="45">
      <c r="A2" s="75" t="inlineStr">
        <is>
          <t>FICTIONAL TRAINING DOCUMENT — NOT A LEGAL AGREEMENT. VA prepares/tracks; authorized person reviews and approves.</t>
        </is>
      </c>
    </row>
    <row r="4" ht="15" customHeight="1" s="45">
      <c r="A4" s="76" t="inlineStr">
        <is>
          <t>Section</t>
        </is>
      </c>
      <c r="B4" s="76" t="inlineStr">
        <is>
          <t>Draft Field</t>
        </is>
      </c>
      <c r="C4" s="76" t="inlineStr">
        <is>
          <t>Example / Prompt</t>
        </is>
      </c>
      <c r="D4" s="76" t="inlineStr">
        <is>
          <t>Learner Entry</t>
        </is>
      </c>
      <c r="E4" s="76" t="inlineStr">
        <is>
          <t>Review Owner</t>
        </is>
      </c>
    </row>
    <row r="5" ht="27.75" customHeight="1" s="45">
      <c r="A5" s="54" t="inlineStr">
        <is>
          <t>Parties</t>
        </is>
      </c>
      <c r="B5" s="54" t="inlineStr">
        <is>
          <t>Participant</t>
        </is>
      </c>
      <c r="C5" s="54" t="inlineStr">
        <is>
          <t>Grace Mitchell / P09 (fictional)</t>
        </is>
      </c>
      <c r="D5" s="77" t="n"/>
      <c r="E5" s="54" t="inlineStr">
        <is>
          <t>Authorized provider representative</t>
        </is>
      </c>
    </row>
    <row r="6" ht="27.75" customHeight="1" s="45">
      <c r="A6" s="54" t="inlineStr">
        <is>
          <t>Parties</t>
        </is>
      </c>
      <c r="B6" s="54" t="inlineStr">
        <is>
          <t>Provider</t>
        </is>
      </c>
      <c r="C6" s="54" t="inlineStr">
        <is>
          <t>Wattlebird Support Services (fictional)</t>
        </is>
      </c>
      <c r="D6" s="77" t="n"/>
      <c r="E6" s="54" t="inlineStr">
        <is>
          <t>Authorized provider representative</t>
        </is>
      </c>
    </row>
    <row r="7" ht="15" customHeight="1" s="45">
      <c r="A7" s="54" t="inlineStr">
        <is>
          <t>Term</t>
        </is>
      </c>
      <c r="B7" s="54" t="inlineStr">
        <is>
          <t>Start date</t>
        </is>
      </c>
      <c r="C7" s="54" t="inlineStr">
        <is>
          <t>Enter fictional agreed date</t>
        </is>
      </c>
      <c r="D7" s="77" t="n"/>
      <c r="E7" s="54" t="inlineStr">
        <is>
          <t>Manager</t>
        </is>
      </c>
    </row>
    <row r="8" ht="15" customHeight="1" s="45">
      <c r="A8" s="54" t="inlineStr">
        <is>
          <t>Term</t>
        </is>
      </c>
      <c r="B8" s="54" t="inlineStr">
        <is>
          <t>End date</t>
        </is>
      </c>
      <c r="C8" s="54" t="inlineStr">
        <is>
          <t>Enter fictional agreed date</t>
        </is>
      </c>
      <c r="D8" s="77" t="n"/>
      <c r="E8" s="54" t="inlineStr">
        <is>
          <t>Manager</t>
        </is>
      </c>
    </row>
    <row r="9" ht="15" customHeight="1" s="45">
      <c r="A9" s="54" t="inlineStr">
        <is>
          <t>Supports</t>
        </is>
      </c>
      <c r="B9" s="54" t="inlineStr">
        <is>
          <t>Support requested</t>
        </is>
      </c>
      <c r="C9" s="54" t="inlineStr">
        <is>
          <t>Community access — draft only</t>
        </is>
      </c>
      <c r="D9" s="77" t="n"/>
      <c r="E9" s="54" t="inlineStr">
        <is>
          <t>Support coordinator</t>
        </is>
      </c>
    </row>
    <row r="10" ht="15" customHeight="1" s="45">
      <c r="A10" s="54" t="inlineStr">
        <is>
          <t>Schedule</t>
        </is>
      </c>
      <c r="B10" s="54" t="inlineStr">
        <is>
          <t>Proposed schedule</t>
        </is>
      </c>
      <c r="C10" s="54" t="inlineStr">
        <is>
          <t>Enter proposed days/times; verify availability</t>
        </is>
      </c>
      <c r="D10" s="77" t="n"/>
      <c r="E10" s="54" t="inlineStr">
        <is>
          <t>Operations/coordination</t>
        </is>
      </c>
    </row>
    <row r="11" ht="15" customHeight="1" s="45">
      <c r="A11" s="54" t="inlineStr">
        <is>
          <t>Pricing</t>
        </is>
      </c>
      <c r="B11" s="54" t="inlineStr">
        <is>
          <t>Training price reference</t>
        </is>
      </c>
      <c r="C11" s="54" t="inlineStr">
        <is>
          <t>Use manager/finance-supplied fictional figure only; learner does not determine the rate.</t>
        </is>
      </c>
      <c r="D11" s="54" t="inlineStr">
        <is>
          <t>For manager</t>
        </is>
      </c>
      <c r="E11" s="54" t="inlineStr">
        <is>
          <t>Manager/finance</t>
        </is>
      </c>
    </row>
    <row r="12" ht="27.75" customHeight="1" s="45">
      <c r="A12" s="54" t="inlineStr">
        <is>
          <t>Cancellations</t>
        </is>
      </c>
      <c r="B12" s="54" t="inlineStr">
        <is>
          <t>Provider procedure</t>
        </is>
      </c>
      <c r="C12" s="54" t="inlineStr">
        <is>
          <t>State 'subject to current provider procedure and applicable rules' rather than inventing legal terms</t>
        </is>
      </c>
      <c r="D12" s="77" t="n"/>
      <c r="E12" s="54" t="inlineStr">
        <is>
          <t>Manager</t>
        </is>
      </c>
    </row>
    <row r="13" ht="15" customHeight="1" s="45">
      <c r="A13" s="54" t="inlineStr">
        <is>
          <t>Privacy</t>
        </is>
      </c>
      <c r="B13" s="54" t="inlineStr">
        <is>
          <t>Information handling</t>
        </is>
      </c>
      <c r="C13" s="54" t="inlineStr">
        <is>
          <t>Provider-authorized systems and approved workflows only</t>
        </is>
      </c>
      <c r="D13" s="77" t="n"/>
      <c r="E13" s="54" t="inlineStr">
        <is>
          <t>Manager/privacy owner</t>
        </is>
      </c>
    </row>
    <row r="14" ht="15" customHeight="1" s="45">
      <c r="A14" s="54" t="inlineStr">
        <is>
          <t>Review</t>
        </is>
      </c>
      <c r="B14" s="54" t="inlineStr">
        <is>
          <t>Status</t>
        </is>
      </c>
      <c r="C14" s="54" t="inlineStr">
        <is>
          <t>DRAFT — FOR MANAGER REVIEW</t>
        </is>
      </c>
      <c r="D14" s="77" t="n"/>
      <c r="E14" s="54" t="inlineStr">
        <is>
          <t>Manager</t>
        </is>
      </c>
    </row>
    <row r="15" ht="15" customHeight="1" s="45">
      <c r="A15" s="54" t="inlineStr">
        <is>
          <t>Closure</t>
        </is>
      </c>
      <c r="B15" s="54" t="inlineStr">
        <is>
          <t>Final approval</t>
        </is>
      </c>
      <c r="C15" s="54" t="inlineStr">
        <is>
          <t>Record approval/version/date only after authorized review</t>
        </is>
      </c>
      <c r="D15" s="77" t="n"/>
      <c r="E15" s="54" t="inlineStr">
        <is>
          <t>Manager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5" customWidth="1" style="44" min="2" max="2"/>
    <col width="22" customWidth="1" style="44" min="3" max="3"/>
    <col width="42" customWidth="1" style="44" min="4" max="6"/>
  </cols>
  <sheetData>
    <row r="1" ht="19.5" customHeight="1" s="45">
      <c r="A1" s="58" t="inlineStr">
        <is>
          <t>M14 — Wattlebird Systems Lab</t>
        </is>
      </c>
    </row>
    <row r="2" ht="15" customHeight="1" s="45">
      <c r="A2" s="75" t="inlineStr">
        <is>
          <t>Fictional interfaces. No government branding, no real credentials, no real participant data.</t>
        </is>
      </c>
    </row>
    <row r="4" ht="15" customHeight="1" s="45">
      <c r="A4" s="76" t="inlineStr">
        <is>
          <t>Lab ID</t>
        </is>
      </c>
      <c r="B4" s="76" t="inlineStr">
        <is>
          <t>Task</t>
        </is>
      </c>
      <c r="C4" s="76" t="inlineStr">
        <is>
          <t>System Area</t>
        </is>
      </c>
      <c r="D4" s="76" t="inlineStr">
        <is>
          <t>Learner Action</t>
        </is>
      </c>
      <c r="E4" s="76" t="inlineStr">
        <is>
          <t>Evidence</t>
        </is>
      </c>
      <c r="F4" s="76" t="inlineStr">
        <is>
          <t>Boundary</t>
        </is>
      </c>
    </row>
    <row r="5" ht="27.75" customHeight="1" s="45">
      <c r="A5" s="54" t="inlineStr">
        <is>
          <t>SYS-01</t>
        </is>
      </c>
      <c r="B5" s="54" t="inlineStr">
        <is>
          <t>Find participant record</t>
        </is>
      </c>
      <c r="C5" s="54" t="inlineStr">
        <is>
          <t>Participant Registry</t>
        </is>
      </c>
      <c r="D5" s="54" t="inlineStr">
        <is>
          <t>Locate P08 and confirm site, management type and agreement status.</t>
        </is>
      </c>
      <c r="E5" s="54" t="inlineStr">
        <is>
          <t>Record fields in learner worksheet.</t>
        </is>
      </c>
      <c r="F5" s="54" t="inlineStr">
        <is>
          <t>Use fictional data only.</t>
        </is>
      </c>
    </row>
    <row r="6" ht="27.75" customHeight="1" s="45">
      <c r="A6" s="54" t="inlineStr">
        <is>
          <t>SYS-02</t>
        </is>
      </c>
      <c r="B6" s="54" t="inlineStr">
        <is>
          <t>Check worker status</t>
        </is>
      </c>
      <c r="C6" s="54" t="inlineStr">
        <is>
          <t>Staff &amp; Compliance</t>
        </is>
      </c>
      <c r="D6" s="54" t="inlineStr">
        <is>
          <t>Find W08 and identify the screening status shown in the fictional system.</t>
        </is>
      </c>
      <c r="E6" s="54" t="inlineStr">
        <is>
          <t>Record status and affected roster shift.</t>
        </is>
      </c>
      <c r="F6" s="54" t="inlineStr">
        <is>
          <t>Do not infer legal eligibility beyond the fictional system/provider instruction.</t>
        </is>
      </c>
    </row>
    <row r="7" ht="27.75" customHeight="1" s="45">
      <c r="A7" s="54" t="inlineStr">
        <is>
          <t>SYS-03</t>
        </is>
      </c>
      <c r="B7" s="54" t="inlineStr">
        <is>
          <t>Check booking</t>
        </is>
      </c>
      <c r="C7" s="54" t="inlineStr">
        <is>
          <t>Bookings</t>
        </is>
      </c>
      <c r="D7" s="54" t="inlineStr">
        <is>
          <t>Find BK-104 and identify participant, worker, date/time and status.</t>
        </is>
      </c>
      <c r="E7" s="54" t="inlineStr">
        <is>
          <t>Record booking details.</t>
        </is>
      </c>
      <c r="F7" s="54" t="inlineStr">
        <is>
          <t>Do not change a booking without authorization.</t>
        </is>
      </c>
    </row>
    <row r="8" ht="27.75" customHeight="1" s="45">
      <c r="A8" s="54" t="inlineStr">
        <is>
          <t>SYS-04</t>
        </is>
      </c>
      <c r="B8" s="54" t="inlineStr">
        <is>
          <t>Review claim</t>
        </is>
      </c>
      <c r="C8" s="54" t="inlineStr">
        <is>
          <t>Claims</t>
        </is>
      </c>
      <c r="D8" s="54" t="inlineStr">
        <is>
          <t>Find CLM-203 and compare item, quantity, rate and participant context.</t>
        </is>
      </c>
      <c r="E8" s="54" t="inlineStr">
        <is>
          <t>Complete a check note.</t>
        </is>
      </c>
      <c r="F8" s="54" t="inlineStr">
        <is>
          <t>Do not approve or submit claims independently.</t>
        </is>
      </c>
    </row>
    <row r="9" ht="15" customHeight="1" s="45">
      <c r="A9" s="54" t="inlineStr">
        <is>
          <t>SYS-05</t>
        </is>
      </c>
      <c r="B9" s="54" t="inlineStr">
        <is>
          <t>Log incident</t>
        </is>
      </c>
      <c r="C9" s="54" t="inlineStr">
        <is>
          <t>Incident Register</t>
        </is>
      </c>
      <c r="D9" s="54" t="inlineStr">
        <is>
          <t>Open IR-008 and draft a factual update/handoff.</t>
        </is>
      </c>
      <c r="E9" s="54" t="inlineStr">
        <is>
          <t>Draft update only.</t>
        </is>
      </c>
      <c r="F9" s="54" t="inlineStr">
        <is>
          <t>Do not decide reportability.</t>
        </is>
      </c>
    </row>
    <row r="10" ht="15" customHeight="1" s="45">
      <c r="A10" s="54" t="inlineStr">
        <is>
          <t>SYS-06</t>
        </is>
      </c>
      <c r="B10" s="54" t="inlineStr">
        <is>
          <t>Credential safety</t>
        </is>
      </c>
      <c r="C10" s="54" t="inlineStr">
        <is>
          <t>Access</t>
        </is>
      </c>
      <c r="D10" s="54" t="inlineStr">
        <is>
          <t>Respond to a request to use a supervisor's login.</t>
        </is>
      </c>
      <c r="E10" s="54" t="inlineStr">
        <is>
          <t>Document safe response.</t>
        </is>
      </c>
      <c r="F10" s="54" t="inlineStr">
        <is>
          <t>Never use or store another person's credentials.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G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44" min="1" max="1"/>
    <col width="16" customWidth="1" style="44" min="2" max="2"/>
    <col width="12" customWidth="1" style="44" min="3" max="3"/>
    <col width="17" customWidth="1" style="44" min="4" max="4"/>
    <col width="13" customWidth="1" style="44" min="5" max="6"/>
    <col width="42" customWidth="1" style="44" min="7" max="7"/>
  </cols>
  <sheetData>
    <row r="1" ht="19.5" customHeight="1" s="45">
      <c r="A1" s="58" t="inlineStr">
        <is>
          <t>M14 Systems Lab — Participant Registry</t>
        </is>
      </c>
    </row>
    <row r="2" ht="15" customHeight="1" s="45">
      <c r="A2" s="75" t="inlineStr">
        <is>
          <t>FICTIONAL SCREEN.</t>
        </is>
      </c>
    </row>
    <row r="4" ht="15" customHeight="1" s="45">
      <c r="A4" s="76" t="inlineStr">
        <is>
          <t>Record ID</t>
        </is>
      </c>
      <c r="B4" s="76" t="inlineStr">
        <is>
          <t>Participant</t>
        </is>
      </c>
      <c r="C4" s="76" t="inlineStr">
        <is>
          <t>Site</t>
        </is>
      </c>
      <c r="D4" s="76" t="inlineStr">
        <is>
          <t>Management Type</t>
        </is>
      </c>
      <c r="E4" s="76" t="inlineStr">
        <is>
          <t>Agreement</t>
        </is>
      </c>
      <c r="F4" s="76" t="inlineStr">
        <is>
          <t>Plan Review</t>
        </is>
      </c>
      <c r="G4" s="76" t="inlineStr">
        <is>
          <t>Notes</t>
        </is>
      </c>
    </row>
    <row r="5" ht="15" customHeight="1" s="45">
      <c r="A5" s="54" t="inlineStr">
        <is>
          <t>REC-P08</t>
        </is>
      </c>
      <c r="B5" s="54" t="inlineStr">
        <is>
          <t>Ben Taylor</t>
        </is>
      </c>
      <c r="C5" s="54" t="inlineStr">
        <is>
          <t>Gold Coast</t>
        </is>
      </c>
      <c r="D5" s="54" t="inlineStr">
        <is>
          <t>Plan-managed</t>
        </is>
      </c>
      <c r="E5" s="54" t="inlineStr">
        <is>
          <t>Signed</t>
        </is>
      </c>
      <c r="F5" s="54" t="inlineStr">
        <is>
          <t>18/03/2027</t>
        </is>
      </c>
      <c r="G5" s="54" t="inlineStr">
        <is>
          <t>Fictional record</t>
        </is>
      </c>
    </row>
    <row r="6" ht="15" customHeight="1" s="45">
      <c r="A6" s="54" t="inlineStr">
        <is>
          <t>REC-P09</t>
        </is>
      </c>
      <c r="B6" s="54" t="inlineStr">
        <is>
          <t>Grace Mitchell</t>
        </is>
      </c>
      <c r="C6" s="54" t="inlineStr">
        <is>
          <t>Melbourne</t>
        </is>
      </c>
      <c r="D6" s="54" t="inlineStr">
        <is>
          <t>To be confirmed</t>
        </is>
      </c>
      <c r="E6" s="54" t="inlineStr">
        <is>
          <t>Not started</t>
        </is>
      </c>
      <c r="F6" s="54" t="inlineStr">
        <is>
          <t>—</t>
        </is>
      </c>
      <c r="G6" s="54" t="inlineStr">
        <is>
          <t>New referral; owner review required</t>
        </is>
      </c>
    </row>
    <row r="7" ht="15" customHeight="1" s="45">
      <c r="A7" s="54" t="inlineStr">
        <is>
          <t>REC-P12</t>
        </is>
      </c>
      <c r="B7" s="54" t="inlineStr">
        <is>
          <t>Ravi Patel</t>
        </is>
      </c>
      <c r="C7" s="54" t="inlineStr">
        <is>
          <t>Melbourne</t>
        </is>
      </c>
      <c r="D7" s="54" t="inlineStr">
        <is>
          <t>Plan-managed</t>
        </is>
      </c>
      <c r="E7" s="54" t="inlineStr">
        <is>
          <t>Signed</t>
        </is>
      </c>
      <c r="F7" s="54" t="inlineStr">
        <is>
          <t>26/02/2027</t>
        </is>
      </c>
      <c r="G7" s="54" t="inlineStr">
        <is>
          <t>Approx. remaining fictional funds: AUD 420</t>
        </is>
      </c>
    </row>
  </sheetData>
  <autoFilter ref="A4:G7"/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H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7" customWidth="1" style="44" min="2" max="2"/>
    <col width="12" customWidth="1" style="44" min="3" max="3"/>
    <col width="17" customWidth="1" style="44" min="4" max="5"/>
    <col width="12" customWidth="1" style="44" min="6" max="6"/>
    <col width="36" customWidth="1" style="44" min="7" max="7"/>
    <col width="10" customWidth="1" style="44" min="8" max="8"/>
  </cols>
  <sheetData>
    <row r="1" ht="19.5" customHeight="1" s="45">
      <c r="A1" s="58" t="inlineStr">
        <is>
          <t>M14 Systems Lab — Staff &amp; Compliance</t>
        </is>
      </c>
    </row>
    <row r="2" ht="15" customHeight="1" s="45">
      <c r="A2" s="75" t="inlineStr">
        <is>
          <t>FICTIONAL SCREEN. Not a government database.</t>
        </is>
      </c>
    </row>
    <row r="4" ht="27.75" customHeight="1" s="45">
      <c r="A4" s="76" t="inlineStr">
        <is>
          <t>Record ID</t>
        </is>
      </c>
      <c r="B4" s="76" t="inlineStr">
        <is>
          <t>Worker</t>
        </is>
      </c>
      <c r="C4" s="76" t="inlineStr">
        <is>
          <t>Site</t>
        </is>
      </c>
      <c r="D4" s="76" t="inlineStr">
        <is>
          <t>Role</t>
        </is>
      </c>
      <c r="E4" s="76" t="inlineStr">
        <is>
          <t>Screening Status</t>
        </is>
      </c>
      <c r="F4" s="76" t="inlineStr">
        <is>
          <t>Expiry</t>
        </is>
      </c>
      <c r="G4" s="76" t="inlineStr">
        <is>
          <t>Eligible to Work (Fictional Field)</t>
        </is>
      </c>
      <c r="H4" s="79" t="n"/>
    </row>
    <row r="5" ht="15" customHeight="1" s="45">
      <c r="A5" s="54" t="inlineStr">
        <is>
          <t>REC-W03</t>
        </is>
      </c>
      <c r="B5" s="54" t="inlineStr">
        <is>
          <t>Sophie Lam</t>
        </is>
      </c>
      <c r="C5" s="54" t="inlineStr">
        <is>
          <t>Melbourne</t>
        </is>
      </c>
      <c r="D5" s="54" t="inlineStr">
        <is>
          <t>Support worker</t>
        </is>
      </c>
      <c r="E5" s="54" t="inlineStr">
        <is>
          <t>Clearance</t>
        </is>
      </c>
      <c r="F5" s="54" t="inlineStr">
        <is>
          <t>30/08/2027</t>
        </is>
      </c>
      <c r="G5" s="54" t="inlineStr">
        <is>
          <t>Yes</t>
        </is>
      </c>
      <c r="H5" s="77" t="n"/>
    </row>
    <row r="6" ht="15" customHeight="1" s="45">
      <c r="A6" s="54" t="inlineStr">
        <is>
          <t>REC-W08</t>
        </is>
      </c>
      <c r="B6" s="54" t="inlineStr">
        <is>
          <t>Noah Kelly</t>
        </is>
      </c>
      <c r="C6" s="54" t="inlineStr">
        <is>
          <t>Gold Coast</t>
        </is>
      </c>
      <c r="D6" s="54" t="inlineStr">
        <is>
          <t>Support worker</t>
        </is>
      </c>
      <c r="E6" s="54" t="inlineStr">
        <is>
          <t>Expired</t>
        </is>
      </c>
      <c r="F6" s="54" t="inlineStr">
        <is>
          <t>25/10/2026</t>
        </is>
      </c>
      <c r="G6" s="54" t="inlineStr">
        <is>
          <t>No</t>
        </is>
      </c>
      <c r="H6" s="77" t="n"/>
    </row>
    <row r="7" ht="15" customHeight="1" s="45">
      <c r="A7" s="54" t="inlineStr">
        <is>
          <t>REC-W07</t>
        </is>
      </c>
      <c r="B7" s="54" t="inlineStr">
        <is>
          <t>Isla Barrett</t>
        </is>
      </c>
      <c r="C7" s="54" t="inlineStr">
        <is>
          <t>Gold Coast</t>
        </is>
      </c>
      <c r="D7" s="54" t="inlineStr">
        <is>
          <t>Support worker</t>
        </is>
      </c>
      <c r="E7" s="54" t="inlineStr">
        <is>
          <t>Clearance</t>
        </is>
      </c>
      <c r="F7" s="54" t="inlineStr">
        <is>
          <t>09/09/2027</t>
        </is>
      </c>
      <c r="G7" s="54" t="inlineStr">
        <is>
          <t>Yes</t>
        </is>
      </c>
      <c r="H7" s="77" t="n"/>
    </row>
    <row r="8" ht="27.75" customHeight="1" s="45">
      <c r="A8" s="54" t="inlineStr">
        <is>
          <t>REC-A02</t>
        </is>
      </c>
      <c r="B8" s="54" t="inlineStr">
        <is>
          <t>Peter Lindqvist</t>
        </is>
      </c>
      <c r="C8" s="54" t="inlineStr">
        <is>
          <t>Melbourne</t>
        </is>
      </c>
      <c r="D8" s="54" t="inlineStr">
        <is>
          <t>Physiotherapist</t>
        </is>
      </c>
      <c r="E8" s="54" t="inlineStr">
        <is>
          <t>Check provider requirement</t>
        </is>
      </c>
      <c r="F8" s="54" t="inlineStr">
        <is>
          <t>—</t>
        </is>
      </c>
      <c r="G8" s="54" t="inlineStr">
        <is>
          <t>—</t>
        </is>
      </c>
      <c r="H8" s="77" t="n"/>
    </row>
  </sheetData>
  <autoFilter ref="A4:H8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I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6" customWidth="1" style="44" min="2" max="4"/>
    <col width="10" customWidth="1" style="44" min="5" max="6"/>
    <col width="12" customWidth="1" style="44" min="7" max="8"/>
    <col width="10" customWidth="1" style="44" min="9" max="9"/>
  </cols>
  <sheetData>
    <row r="1" ht="19.5" customHeight="1" s="45">
      <c r="A1" s="58" t="inlineStr">
        <is>
          <t>M14 Systems Lab — Booking Register</t>
        </is>
      </c>
    </row>
    <row r="2" ht="15" customHeight="1" s="45">
      <c r="A2" s="75" t="inlineStr">
        <is>
          <t>FICTIONAL SCREEN. Dates/times are practice values.</t>
        </is>
      </c>
    </row>
    <row r="4" ht="15" customHeight="1" s="45">
      <c r="A4" s="76" t="inlineStr">
        <is>
          <t>Booking ID</t>
        </is>
      </c>
      <c r="B4" s="76" t="inlineStr">
        <is>
          <t>Participant ID</t>
        </is>
      </c>
      <c r="C4" s="76" t="inlineStr">
        <is>
          <t>Worker ID</t>
        </is>
      </c>
      <c r="D4" s="76" t="inlineStr">
        <is>
          <t>Date</t>
        </is>
      </c>
      <c r="E4" s="76" t="inlineStr">
        <is>
          <t>Start</t>
        </is>
      </c>
      <c r="F4" s="76" t="inlineStr">
        <is>
          <t>End</t>
        </is>
      </c>
      <c r="G4" s="76" t="inlineStr">
        <is>
          <t>Site</t>
        </is>
      </c>
      <c r="H4" s="76" t="inlineStr">
        <is>
          <t>Status</t>
        </is>
      </c>
      <c r="I4" s="79" t="n"/>
    </row>
    <row r="5" ht="15" customHeight="1" s="45">
      <c r="A5" s="54" t="inlineStr">
        <is>
          <t>BK-101</t>
        </is>
      </c>
      <c r="B5" s="54" t="inlineStr">
        <is>
          <t>P08</t>
        </is>
      </c>
      <c r="C5" s="54" t="inlineStr">
        <is>
          <t>W07</t>
        </is>
      </c>
      <c r="D5" s="80" t="n">
        <v>46329</v>
      </c>
      <c r="E5" s="81" t="n">
        <v>0.375</v>
      </c>
      <c r="F5" s="81" t="n">
        <v>0.5</v>
      </c>
      <c r="G5" s="54" t="inlineStr">
        <is>
          <t>Gold Coast</t>
        </is>
      </c>
      <c r="H5" s="54" t="inlineStr">
        <is>
          <t>Confirmed</t>
        </is>
      </c>
      <c r="I5" s="77" t="n"/>
    </row>
    <row r="6" ht="15" customHeight="1" s="45">
      <c r="A6" s="54" t="inlineStr">
        <is>
          <t>BK-102</t>
        </is>
      </c>
      <c r="B6" s="54" t="inlineStr">
        <is>
          <t>P12</t>
        </is>
      </c>
      <c r="C6" s="54" t="inlineStr">
        <is>
          <t>A02</t>
        </is>
      </c>
      <c r="D6" s="80" t="n">
        <v>46330</v>
      </c>
      <c r="E6" s="81" t="n">
        <v>0.5416666666666666</v>
      </c>
      <c r="F6" s="81" t="n">
        <v>0.625</v>
      </c>
      <c r="G6" s="54" t="inlineStr">
        <is>
          <t>Melbourne</t>
        </is>
      </c>
      <c r="H6" s="54" t="inlineStr">
        <is>
          <t>Confirmed</t>
        </is>
      </c>
      <c r="I6" s="77" t="n"/>
    </row>
    <row r="7" ht="15" customHeight="1" s="45">
      <c r="A7" s="54" t="inlineStr">
        <is>
          <t>BK-103</t>
        </is>
      </c>
      <c r="B7" s="54" t="inlineStr">
        <is>
          <t>P02</t>
        </is>
      </c>
      <c r="C7" s="54" t="inlineStr">
        <is>
          <t>W05</t>
        </is>
      </c>
      <c r="D7" s="80" t="n">
        <v>46330</v>
      </c>
      <c r="E7" s="81" t="n">
        <v>0.4166666666666667</v>
      </c>
      <c r="F7" s="81" t="n">
        <v>0.5833333333333334</v>
      </c>
      <c r="G7" s="54" t="inlineStr">
        <is>
          <t>Melbourne</t>
        </is>
      </c>
      <c r="H7" s="54" t="inlineStr">
        <is>
          <t>Confirmed</t>
        </is>
      </c>
      <c r="I7" s="77" t="n"/>
    </row>
    <row r="8" ht="15" customHeight="1" s="45">
      <c r="A8" s="54" t="inlineStr">
        <is>
          <t>BK-104</t>
        </is>
      </c>
      <c r="B8" s="54" t="inlineStr">
        <is>
          <t>P06</t>
        </is>
      </c>
      <c r="C8" s="54" t="inlineStr">
        <is>
          <t>W03</t>
        </is>
      </c>
      <c r="D8" s="80" t="n">
        <v>46328</v>
      </c>
      <c r="E8" s="81" t="n">
        <v>0.5</v>
      </c>
      <c r="F8" s="81" t="n">
        <v>0.6666666666666666</v>
      </c>
      <c r="G8" s="54" t="inlineStr">
        <is>
          <t>Melbourne</t>
        </is>
      </c>
      <c r="H8" s="54" t="inlineStr">
        <is>
          <t>Confirmed</t>
        </is>
      </c>
      <c r="I8" s="77" t="n"/>
    </row>
  </sheetData>
  <autoFilter ref="A4:I8"/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I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6" customWidth="1" style="44" min="2" max="2"/>
    <col width="17" customWidth="1" style="44" min="3" max="4"/>
    <col width="10" customWidth="1" style="44" min="5" max="9"/>
  </cols>
  <sheetData>
    <row r="1" ht="19.5" customHeight="1" s="45">
      <c r="A1" s="58" t="inlineStr">
        <is>
          <t>M14 Systems Lab — Claims Register</t>
        </is>
      </c>
    </row>
    <row r="2" ht="15" customHeight="1" s="45">
      <c r="A2" s="75" t="inlineStr">
        <is>
          <t>FICTIONAL SCREEN. Claim values are invented and checked against fictional Wattlebird data.</t>
        </is>
      </c>
    </row>
    <row r="4" ht="27.75" customHeight="1" s="45">
      <c r="A4" s="76" t="inlineStr">
        <is>
          <t>Claim ID</t>
        </is>
      </c>
      <c r="B4" s="76" t="inlineStr">
        <is>
          <t>Participant ID</t>
        </is>
      </c>
      <c r="C4" s="76" t="inlineStr">
        <is>
          <t>Management Type</t>
        </is>
      </c>
      <c r="D4" s="76" t="inlineStr">
        <is>
          <t>Item Code</t>
        </is>
      </c>
      <c r="E4" s="76" t="inlineStr">
        <is>
          <t>Qty</t>
        </is>
      </c>
      <c r="F4" s="76" t="inlineStr">
        <is>
          <t>Rate</t>
        </is>
      </c>
      <c r="G4" s="76" t="inlineStr">
        <is>
          <t>Total</t>
        </is>
      </c>
      <c r="H4" s="76" t="inlineStr">
        <is>
          <t>Status</t>
        </is>
      </c>
      <c r="I4" s="79" t="n"/>
    </row>
    <row r="5" ht="15" customHeight="1" s="45">
      <c r="A5" s="54" t="inlineStr">
        <is>
          <t>CLM-201</t>
        </is>
      </c>
      <c r="B5" s="54" t="inlineStr">
        <is>
          <t>P01</t>
        </is>
      </c>
      <c r="C5" s="54" t="inlineStr">
        <is>
          <t>Plan-managed</t>
        </is>
      </c>
      <c r="D5" s="54" t="inlineStr">
        <is>
          <t>FX-CA-WD</t>
        </is>
      </c>
      <c r="E5" s="54" t="n">
        <v>2</v>
      </c>
      <c r="F5" s="54" t="n">
        <v>62</v>
      </c>
      <c r="G5" s="54">
        <f>E5*F5</f>
        <v/>
      </c>
      <c r="H5" s="54" t="inlineStr">
        <is>
          <t>Ready</t>
        </is>
      </c>
      <c r="I5" s="77" t="n"/>
    </row>
    <row r="6" ht="27.75" customHeight="1" s="45">
      <c r="A6" s="54" t="inlineStr">
        <is>
          <t>CLM-202</t>
        </is>
      </c>
      <c r="B6" s="54" t="inlineStr">
        <is>
          <t>P02</t>
        </is>
      </c>
      <c r="C6" s="54" t="inlineStr">
        <is>
          <t>Self-managed</t>
        </is>
      </c>
      <c r="D6" s="54" t="inlineStr">
        <is>
          <t>FX-DL-WD</t>
        </is>
      </c>
      <c r="E6" s="54" t="n">
        <v>4</v>
      </c>
      <c r="F6" s="54" t="n">
        <v>68</v>
      </c>
      <c r="G6" s="54">
        <f>E6*F6</f>
        <v/>
      </c>
      <c r="H6" s="54" t="inlineStr">
        <is>
          <t>Review</t>
        </is>
      </c>
      <c r="I6" s="77" t="n"/>
    </row>
    <row r="7" ht="15" customHeight="1" s="45">
      <c r="A7" s="54" t="inlineStr">
        <is>
          <t>CLM-203</t>
        </is>
      </c>
      <c r="B7" s="54" t="inlineStr">
        <is>
          <t>P12</t>
        </is>
      </c>
      <c r="C7" s="54" t="inlineStr">
        <is>
          <t>Plan-managed</t>
        </is>
      </c>
      <c r="D7" s="54" t="inlineStr">
        <is>
          <t>FX-PT-01</t>
        </is>
      </c>
      <c r="E7" s="54" t="n">
        <v>1</v>
      </c>
      <c r="F7" s="54" t="n">
        <v>190</v>
      </c>
      <c r="G7" s="54">
        <f>E7*F7</f>
        <v/>
      </c>
      <c r="H7" s="54" t="inlineStr">
        <is>
          <t>Review</t>
        </is>
      </c>
      <c r="I7" s="77" t="n"/>
    </row>
    <row r="8" ht="15" customHeight="1" s="45">
      <c r="A8" s="54" t="inlineStr">
        <is>
          <t>CLM-204</t>
        </is>
      </c>
      <c r="B8" s="54" t="inlineStr">
        <is>
          <t>P07</t>
        </is>
      </c>
      <c r="C8" s="54" t="inlineStr">
        <is>
          <t>Plan-managed</t>
        </is>
      </c>
      <c r="D8" s="54" t="inlineStr">
        <is>
          <t>FX-PS-01</t>
        </is>
      </c>
      <c r="E8" s="54" t="n">
        <v>1</v>
      </c>
      <c r="F8" s="54" t="n">
        <v>220</v>
      </c>
      <c r="G8" s="54">
        <f>E8*F8</f>
        <v/>
      </c>
      <c r="H8" s="54" t="inlineStr">
        <is>
          <t>Ready</t>
        </is>
      </c>
      <c r="I8" s="77" t="n"/>
    </row>
  </sheetData>
  <autoFilter ref="A4:I8"/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H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6" customWidth="1" style="44" min="2" max="2"/>
    <col width="18" customWidth="1" style="44" min="3" max="3"/>
    <col width="42" customWidth="1" style="44" min="4" max="5"/>
    <col width="14" customWidth="1" style="44" min="6" max="6"/>
    <col width="10" customWidth="1" style="44" min="7" max="7"/>
    <col width="42" customWidth="1" style="44" min="8" max="8"/>
  </cols>
  <sheetData>
    <row r="1" ht="19.5" customHeight="1" s="45">
      <c r="A1" s="58" t="inlineStr">
        <is>
          <t>M14 Systems Lab — Incident Register</t>
        </is>
      </c>
    </row>
    <row r="2" ht="15" customHeight="1" s="45">
      <c r="A2" s="75" t="inlineStr">
        <is>
          <t>FICTIONAL SCREEN. Record facts and hand off; the VA does not determine reportability.</t>
        </is>
      </c>
    </row>
    <row r="4" ht="15" customHeight="1" s="45">
      <c r="A4" s="76" t="inlineStr">
        <is>
          <t>Incident ID</t>
        </is>
      </c>
      <c r="B4" s="76" t="inlineStr">
        <is>
          <t>Participant ID</t>
        </is>
      </c>
      <c r="C4" s="76" t="inlineStr">
        <is>
          <t>Date/Time</t>
        </is>
      </c>
      <c r="D4" s="76" t="inlineStr">
        <is>
          <t>Reported Facts</t>
        </is>
      </c>
      <c r="E4" s="76" t="inlineStr">
        <is>
          <t>Immediate Action</t>
        </is>
      </c>
      <c r="F4" s="76" t="inlineStr">
        <is>
          <t>Escalated To</t>
        </is>
      </c>
      <c r="G4" s="76" t="inlineStr">
        <is>
          <t>Status</t>
        </is>
      </c>
      <c r="H4" s="76" t="n"/>
    </row>
    <row r="5" ht="15" customHeight="1" s="45">
      <c r="A5" s="54" t="inlineStr">
        <is>
          <t>IR-010</t>
        </is>
      </c>
      <c r="B5" s="54" t="inlineStr">
        <is>
          <t>P05</t>
        </is>
      </c>
      <c r="C5" s="54" t="inlineStr">
        <is>
          <t>06/11/2026 11:10</t>
        </is>
      </c>
      <c r="D5" s="54" t="inlineStr">
        <is>
          <t>Participant reported a minor fall with no ambulance response recorded in the message.</t>
        </is>
      </c>
      <c r="E5" s="54" t="inlineStr">
        <is>
          <t>Recorded factual report; urgent owner review required.</t>
        </is>
      </c>
      <c r="F5" s="54" t="inlineStr">
        <is>
          <t>Rhonda Blake</t>
        </is>
      </c>
      <c r="G5" s="54" t="inlineStr">
        <is>
          <t>Open</t>
        </is>
      </c>
      <c r="H5" s="77" t="n"/>
    </row>
    <row r="6" ht="27.75" customHeight="1" s="45">
      <c r="A6" s="54" t="inlineStr">
        <is>
          <t>IR-008</t>
        </is>
      </c>
      <c r="B6" s="54" t="inlineStr">
        <is>
          <t>P11</t>
        </is>
      </c>
      <c r="C6" s="54" t="inlineStr">
        <is>
          <t>07/11/2026 10:15</t>
        </is>
      </c>
      <c r="D6" s="54" t="inlineStr">
        <is>
          <t>Worker reported participant fall; ambulance called.</t>
        </is>
      </c>
      <c r="E6" s="54" t="inlineStr">
        <is>
          <t>Participant taken for medical care.</t>
        </is>
      </c>
      <c r="F6" s="54" t="inlineStr">
        <is>
          <t>Rhonda Blake</t>
        </is>
      </c>
      <c r="G6" s="54" t="inlineStr">
        <is>
          <t>Urgent</t>
        </is>
      </c>
      <c r="H6" s="54" t="n"/>
    </row>
    <row r="7" ht="15" customHeight="1" s="45">
      <c r="A7" s="54" t="inlineStr">
        <is>
          <t>IR-009</t>
        </is>
      </c>
      <c r="B7" s="54" t="inlineStr">
        <is>
          <t>P01</t>
        </is>
      </c>
      <c r="C7" s="54" t="inlineStr">
        <is>
          <t>02/11/2026 12:20</t>
        </is>
      </c>
      <c r="D7" s="54" t="inlineStr">
        <is>
          <t>Roster containing Marisol information was sent to Priya email by mistake.</t>
        </is>
      </c>
      <c r="E7" s="54" t="inlineStr">
        <is>
          <t>Record facts and prepare privacy/operations handoff.</t>
        </is>
      </c>
      <c r="F7" s="54" t="inlineStr">
        <is>
          <t>Rhonda Blake</t>
        </is>
      </c>
      <c r="G7" s="54" t="inlineStr">
        <is>
          <t>Open</t>
        </is>
      </c>
      <c r="H7" s="77" t="n"/>
    </row>
  </sheetData>
  <autoFilter ref="A4:H7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37" customWidth="1" style="44" min="2" max="2"/>
    <col width="42" customWidth="1" style="44" min="3" max="4"/>
  </cols>
  <sheetData>
    <row r="1" ht="19.5" customHeight="1" s="45">
      <c r="A1" s="58" t="inlineStr">
        <is>
          <t>M14 — SOP Prove Task</t>
        </is>
      </c>
    </row>
    <row r="2" ht="15" customHeight="1" s="45">
      <c r="A2" s="75" t="inlineStr">
        <is>
          <t>FICTIONAL TRAINING TEMPLATE. Use the canonical workflow and Wattlebird procedure; do not invent legal or clinical steps.</t>
        </is>
      </c>
    </row>
    <row r="4" ht="15" customHeight="1" s="45">
      <c r="A4" s="76" t="inlineStr">
        <is>
          <t>SOP Section</t>
        </is>
      </c>
      <c r="B4" s="76" t="inlineStr">
        <is>
          <t>Learner Requirement</t>
        </is>
      </c>
      <c r="C4" s="76" t="inlineStr">
        <is>
          <t>Prompt</t>
        </is>
      </c>
      <c r="D4" s="76" t="inlineStr">
        <is>
          <t>Learner Entry</t>
        </is>
      </c>
    </row>
    <row r="5" ht="15" customHeight="1" s="45">
      <c r="A5" s="54" t="inlineStr">
        <is>
          <t>Purpose</t>
        </is>
      </c>
      <c r="B5" s="54" t="inlineStr">
        <is>
          <t>State what the task achieves.</t>
        </is>
      </c>
      <c r="C5" s="54" t="inlineStr">
        <is>
          <t>Example: checking a fictional claim before manager review.</t>
        </is>
      </c>
      <c r="D5" s="77" t="n"/>
    </row>
    <row r="6" ht="15" customHeight="1" s="45">
      <c r="A6" s="54" t="inlineStr">
        <is>
          <t>Trigger</t>
        </is>
      </c>
      <c r="B6" s="54" t="inlineStr">
        <is>
          <t>When does the task start?</t>
        </is>
      </c>
      <c r="C6" s="54" t="inlineStr">
        <is>
          <t>Example: a claim is received for review.</t>
        </is>
      </c>
      <c r="D6" s="77" t="n"/>
    </row>
    <row r="7" ht="15" customHeight="1" s="45">
      <c r="A7" s="54" t="inlineStr">
        <is>
          <t>Inputs</t>
        </is>
      </c>
      <c r="B7" s="54" t="inlineStr">
        <is>
          <t>What records are needed?</t>
        </is>
      </c>
      <c r="C7" s="54" t="inlineStr">
        <is>
          <t>Participant record, claim record, fictional price table.</t>
        </is>
      </c>
      <c r="D7" s="77" t="n"/>
    </row>
    <row r="8" ht="27.75" customHeight="1" s="45">
      <c r="A8" s="54" t="inlineStr">
        <is>
          <t>Steps</t>
        </is>
      </c>
      <c r="B8" s="54" t="inlineStr">
        <is>
          <t>Write numbered steps.</t>
        </is>
      </c>
      <c r="C8" s="54" t="inlineStr">
        <is>
          <t>Find record → check fields → classify → record note → hand off if needed → follow up.</t>
        </is>
      </c>
      <c r="D8" s="77" t="n"/>
    </row>
    <row r="9" ht="27.75" customHeight="1" s="45">
      <c r="A9" s="54" t="inlineStr">
        <is>
          <t>Escalation</t>
        </is>
      </c>
      <c r="B9" s="54" t="inlineStr">
        <is>
          <t>When does the VA stop and hand off?</t>
        </is>
      </c>
      <c r="C9" s="54" t="inlineStr">
        <is>
          <t>Authority, safety/privacy/compliance issue, or decision outside VA role.</t>
        </is>
      </c>
      <c r="D9" s="77" t="n"/>
    </row>
    <row r="10" ht="15" customHeight="1" s="45">
      <c r="A10" s="54" t="inlineStr">
        <is>
          <t>Follow-up</t>
        </is>
      </c>
      <c r="B10" s="54" t="inlineStr">
        <is>
          <t>How is the task tracked?</t>
        </is>
      </c>
      <c r="C10" s="54" t="inlineStr">
        <is>
          <t>Owner, next action, trigger/date, response, closure condition.</t>
        </is>
      </c>
      <c r="D10" s="77" t="n"/>
    </row>
    <row r="11" ht="15" customHeight="1" s="45">
      <c r="A11" s="54" t="inlineStr">
        <is>
          <t>Closure</t>
        </is>
      </c>
      <c r="B11" s="54" t="inlineStr">
        <is>
          <t>What proves the task is complete?</t>
        </is>
      </c>
      <c r="C11" s="54" t="inlineStr">
        <is>
          <t>Manager disposition recorded and relevant record/task updated.</t>
        </is>
      </c>
      <c r="D11" s="77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J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1" customWidth="1" style="44" min="2" max="2"/>
    <col width="42" customWidth="1" style="44" min="3" max="3"/>
    <col width="26" customWidth="1" style="44" min="4" max="4"/>
    <col width="24" customWidth="1" style="44" min="5" max="5"/>
    <col width="26" customWidth="1" style="44" min="6" max="6"/>
    <col width="20" customWidth="1" style="44" min="7" max="7"/>
    <col width="25" customWidth="1" style="44" min="8" max="8"/>
    <col width="42" customWidth="1" style="44" min="9" max="9"/>
    <col width="24" customWidth="1" style="44" min="10" max="10"/>
  </cols>
  <sheetData>
    <row r="1" ht="19.5" customHeight="1" s="45">
      <c r="A1" s="58" t="inlineStr">
        <is>
          <t>M15 — Wattlebird Mixed Workweek Capstone</t>
        </is>
      </c>
    </row>
    <row r="2" ht="15" customHeight="1" s="45">
      <c r="A2" s="75" t="inlineStr">
        <is>
          <t>Mixed-week simulation: Mon 2–Sun 8 Nov 2026. Work items arrive in chronological order; weekend items may be outside VA hours. Use the Wattlebird urgent procedure for urgent matters.</t>
        </is>
      </c>
    </row>
    <row r="3" ht="15" customHeight="1" s="45">
      <c r="A3" s="78" t="inlineStr">
        <is>
          <t>Task ID</t>
        </is>
      </c>
      <c r="B3" s="78" t="inlineStr">
        <is>
          <t>Day</t>
        </is>
      </c>
      <c r="C3" s="78" t="inlineStr">
        <is>
          <t>Incoming Work</t>
        </is>
      </c>
      <c r="D3" s="78" t="inlineStr">
        <is>
          <t>Learner Priority</t>
        </is>
      </c>
      <c r="E3" s="78" t="inlineStr">
        <is>
          <t>Learner Classification</t>
        </is>
      </c>
      <c r="F3" s="78" t="inlineStr">
        <is>
          <t>Evidence / Notes</t>
        </is>
      </c>
      <c r="G3" s="78" t="inlineStr">
        <is>
          <t>Owner / Handoff</t>
        </is>
      </c>
      <c r="H3" s="78" t="inlineStr">
        <is>
          <t>Follow-Up</t>
        </is>
      </c>
      <c r="I3" s="78" t="inlineStr">
        <is>
          <t>Closure Condition</t>
        </is>
      </c>
      <c r="J3" s="78" t="inlineStr">
        <is>
          <t>Source Check Required?</t>
        </is>
      </c>
    </row>
    <row r="4" ht="27.75" customHeight="1" s="45">
      <c r="A4" s="54" t="inlineStr">
        <is>
          <t>CAP-01</t>
        </is>
      </c>
      <c r="B4" s="54" t="inlineStr">
        <is>
          <t>Mon 2 Nov</t>
        </is>
      </c>
      <c r="C4" s="54" t="inlineStr">
        <is>
          <t>Joy cannot work today's shift; cover is needed.</t>
        </is>
      </c>
      <c r="D4" s="77" t="n"/>
      <c r="E4" s="77" t="n"/>
      <c r="F4" s="77" t="n"/>
      <c r="G4" s="77" t="n"/>
      <c r="H4" s="77" t="n"/>
      <c r="I4" s="77" t="n"/>
      <c r="J4" s="54" t="inlineStr">
        <is>
          <t>No</t>
        </is>
      </c>
    </row>
    <row r="5" ht="15" customHeight="1" s="45">
      <c r="A5" s="54" t="inlineStr">
        <is>
          <t>CAP-02</t>
        </is>
      </c>
      <c r="B5" s="54" t="inlineStr">
        <is>
          <t>Mon 2 Nov</t>
        </is>
      </c>
      <c r="C5" s="54" t="inlineStr">
        <is>
          <t>Sophie reports two shifts at once.</t>
        </is>
      </c>
      <c r="D5" s="77" t="n"/>
      <c r="E5" s="77" t="n"/>
      <c r="F5" s="77" t="n"/>
      <c r="G5" s="77" t="n"/>
      <c r="H5" s="77" t="n"/>
      <c r="I5" s="77" t="n"/>
      <c r="J5" s="54" t="inlineStr">
        <is>
          <t>No</t>
        </is>
      </c>
    </row>
    <row r="6" ht="15" customHeight="1" s="45">
      <c r="A6" s="54" t="inlineStr">
        <is>
          <t>CAP-03</t>
        </is>
      </c>
      <c r="B6" s="54" t="inlineStr">
        <is>
          <t>Mon 2 Nov</t>
        </is>
      </c>
      <c r="C6" s="54" t="inlineStr">
        <is>
          <t>Referral asks what NDIS covers.</t>
        </is>
      </c>
      <c r="D6" s="77" t="n"/>
      <c r="E6" s="77" t="n"/>
      <c r="F6" s="77" t="n"/>
      <c r="G6" s="77" t="n"/>
      <c r="H6" s="77" t="n"/>
      <c r="I6" s="77" t="n"/>
      <c r="J6" s="54" t="inlineStr">
        <is>
          <t>No</t>
        </is>
      </c>
    </row>
    <row r="7" ht="27.75" customHeight="1" s="45">
      <c r="A7" s="54" t="inlineStr">
        <is>
          <t>CAP-04</t>
        </is>
      </c>
      <c r="B7" s="54" t="inlineStr">
        <is>
          <t>Tue 3 Nov</t>
        </is>
      </c>
      <c r="C7" s="54" t="inlineStr">
        <is>
          <t>Ben asks whether Gold Coast support is affected by Melbourne Cup Day.</t>
        </is>
      </c>
      <c r="D7" s="77" t="n"/>
      <c r="E7" s="77" t="n"/>
      <c r="F7" s="77" t="n"/>
      <c r="G7" s="77" t="n"/>
      <c r="H7" s="77" t="n"/>
      <c r="I7" s="77" t="n"/>
      <c r="J7" s="54" t="inlineStr">
        <is>
          <t>Yes</t>
        </is>
      </c>
    </row>
    <row r="8" ht="27.75" customHeight="1" s="45">
      <c r="A8" s="54" t="inlineStr">
        <is>
          <t>CAP-05</t>
        </is>
      </c>
      <c r="B8" s="54" t="inlineStr">
        <is>
          <t>Mon 2 Nov</t>
        </is>
      </c>
      <c r="C8" s="54" t="inlineStr">
        <is>
          <t>Invoice batch contains mixed OK/Flag/Ask cases.</t>
        </is>
      </c>
      <c r="D8" s="77" t="n"/>
      <c r="E8" s="77" t="n"/>
      <c r="F8" s="77" t="n"/>
      <c r="G8" s="77" t="n"/>
      <c r="H8" s="77" t="n"/>
      <c r="I8" s="77" t="n"/>
      <c r="J8" s="54" t="inlineStr">
        <is>
          <t>Yes</t>
        </is>
      </c>
    </row>
    <row r="9" ht="15" customHeight="1" s="45">
      <c r="A9" s="54" t="inlineStr">
        <is>
          <t>CAP-06</t>
        </is>
      </c>
      <c r="B9" s="54" t="inlineStr">
        <is>
          <t>Mon 2 Nov</t>
        </is>
      </c>
      <c r="C9" s="54" t="inlineStr">
        <is>
          <t>Wrong-recipient privacy incident.</t>
        </is>
      </c>
      <c r="D9" s="77" t="n"/>
      <c r="E9" s="77" t="n"/>
      <c r="F9" s="77" t="n"/>
      <c r="G9" s="77" t="n"/>
      <c r="H9" s="77" t="n"/>
      <c r="I9" s="77" t="n"/>
      <c r="J9" s="54" t="inlineStr">
        <is>
          <t>No</t>
        </is>
      </c>
    </row>
    <row r="10" ht="15" customHeight="1" s="45">
      <c r="A10" s="54" t="inlineStr">
        <is>
          <t>CAP-08</t>
        </is>
      </c>
      <c r="B10" s="54" t="inlineStr">
        <is>
          <t>Thu 5 Nov</t>
        </is>
      </c>
      <c r="C10" s="54" t="inlineStr">
        <is>
          <t>Ravi asks about future physio with low fictional remaining funds.</t>
        </is>
      </c>
      <c r="D10" s="77" t="n"/>
      <c r="E10" s="77" t="n"/>
      <c r="F10" s="77" t="n"/>
      <c r="G10" s="77" t="n"/>
      <c r="H10" s="77" t="n"/>
      <c r="I10" s="77" t="n"/>
      <c r="J10" s="54" t="inlineStr">
        <is>
          <t>No</t>
        </is>
      </c>
    </row>
    <row r="11" ht="15" customHeight="1" s="45">
      <c r="A11" s="54" t="inlineStr">
        <is>
          <t>CAP-07</t>
        </is>
      </c>
      <c r="B11" s="54" t="inlineStr">
        <is>
          <t>Thu 5 Nov</t>
        </is>
      </c>
      <c r="C11" s="54" t="inlineStr">
        <is>
          <t>Lucia agreement due for renewal.</t>
        </is>
      </c>
      <c r="D11" s="77" t="n"/>
      <c r="E11" s="77" t="n"/>
      <c r="F11" s="77" t="n"/>
      <c r="G11" s="77" t="n"/>
      <c r="H11" s="77" t="n"/>
      <c r="I11" s="77" t="n"/>
      <c r="J11" s="54" t="inlineStr">
        <is>
          <t>No</t>
        </is>
      </c>
    </row>
    <row r="12" ht="27.75" customHeight="1" s="45">
      <c r="A12" s="54" t="inlineStr">
        <is>
          <t>CAP-09</t>
        </is>
      </c>
      <c r="B12" s="54" t="inlineStr">
        <is>
          <t>Sat 7 Nov</t>
        </is>
      </c>
      <c r="C12" s="54" t="inlineStr">
        <is>
          <t>Hannah fall reported after hours.</t>
        </is>
      </c>
      <c r="D12" s="77" t="n"/>
      <c r="E12" s="77" t="n"/>
      <c r="F12" s="77" t="n"/>
      <c r="G12" s="77" t="n"/>
      <c r="H12" s="77" t="n"/>
      <c r="I12" s="77" t="n"/>
      <c r="J12" s="54" t="inlineStr">
        <is>
          <t>Yes</t>
        </is>
      </c>
    </row>
    <row r="13" ht="27.75" customHeight="1" s="45">
      <c r="A13" s="54" t="inlineStr">
        <is>
          <t>CAP-10</t>
        </is>
      </c>
      <c r="B13" s="54" t="inlineStr">
        <is>
          <t>Sun 8 Nov</t>
        </is>
      </c>
      <c r="C13" s="54" t="inlineStr">
        <is>
          <t>Audit preparation: tidy incident/complaint logs and identify gaps.</t>
        </is>
      </c>
      <c r="D13" s="54" t="n"/>
      <c r="E13" s="54" t="n"/>
      <c r="F13" s="54" t="n"/>
      <c r="G13" s="54" t="n"/>
      <c r="H13" s="54" t="n"/>
      <c r="I13" s="54" t="n"/>
      <c r="J13" s="54" t="inlineStr">
        <is>
          <t>No</t>
        </is>
      </c>
    </row>
    <row r="14" ht="27.75" customHeight="1" s="45"/>
    <row r="16" ht="15" customHeight="1" s="45">
      <c r="A16" s="57" t="inlineStr">
        <is>
          <t>Required capstone outputs</t>
        </is>
      </c>
    </row>
    <row r="17" ht="15" customHeight="1" s="45">
      <c r="A17" s="54" t="inlineStr">
        <is>
          <t>1. Completed task evidence</t>
        </is>
      </c>
    </row>
    <row r="18" ht="15" customHeight="1" s="45">
      <c r="A18" s="54" t="inlineStr">
        <is>
          <t>2. Follow-Up/Handover Log</t>
        </is>
      </c>
    </row>
    <row r="19" ht="15" customHeight="1" s="45">
      <c r="A19" s="54" t="inlineStr">
        <is>
          <t>3. One current-source check entry</t>
        </is>
      </c>
    </row>
    <row r="20" ht="15" customHeight="1" s="45">
      <c r="A20" s="54" t="inlineStr">
        <is>
          <t>4. End-of-week handover note</t>
        </is>
      </c>
    </row>
    <row r="21" ht="15" customHeight="1" s="45">
      <c r="A21" s="54" t="inlineStr">
        <is>
          <t>5. Portfolio-ready filenames and fictional labels</t>
        </is>
      </c>
    </row>
    <row r="23" ht="15" customHeight="1" s="45">
      <c r="A23" s="57" t="inlineStr">
        <is>
          <t>Capstone scoring</t>
        </is>
      </c>
    </row>
    <row r="24" ht="15" customHeight="1" s="45">
      <c r="A24" s="54" t="inlineStr">
        <is>
          <t>Use the Certification_Rubric plus the Capstone rubric in the answer-key workbook. Safety/privacy/boundary failures require remediation before certification.</t>
        </is>
      </c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</row>
    <row r="25" ht="15" customHeight="1" s="45">
      <c r="A25" s="44" t="n"/>
    </row>
  </sheetData>
  <autoFilter ref="A4:J14"/>
  <mergeCells count="3">
    <mergeCell ref="A1:J1"/>
    <mergeCell ref="A25:J25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27" customWidth="1" style="44" min="3" max="4"/>
    <col width="34" customWidth="1" style="44" min="5" max="5"/>
  </cols>
  <sheetData>
    <row r="1" ht="19.5" customHeight="1" s="45">
      <c r="A1" s="58" t="inlineStr">
        <is>
          <t>M16 — Portfolio Assembly</t>
        </is>
      </c>
    </row>
    <row r="2" ht="15" customHeight="1" s="45">
      <c r="A2" s="75" t="inlineStr">
        <is>
          <t>Keep full certification evidence separately from a smaller client-facing showcase. Label all practice work honestly.</t>
        </is>
      </c>
    </row>
    <row r="4" ht="15" customHeight="1" s="45">
      <c r="A4" s="76" t="inlineStr">
        <is>
          <t>Folder / Binder</t>
        </is>
      </c>
      <c r="B4" s="76" t="inlineStr">
        <is>
          <t>Minimum Contents</t>
        </is>
      </c>
      <c r="C4" s="76" t="inlineStr">
        <is>
          <t>Naming Pattern</t>
        </is>
      </c>
      <c r="D4" s="76" t="inlineStr">
        <is>
          <t>Required Label</t>
        </is>
      </c>
      <c r="E4" s="76" t="inlineStr">
        <is>
          <t>Purpose</t>
        </is>
      </c>
    </row>
    <row r="5" ht="15" customHeight="1" s="45">
      <c r="A5" s="54" t="inlineStr">
        <is>
          <t>01_Workplace_Foundations</t>
        </is>
      </c>
      <c r="B5" s="54" t="inlineStr">
        <is>
          <t>M1 profile, M2 workplace messages, M3 file structure, M4 handover</t>
        </is>
      </c>
      <c r="C5" s="54" t="inlineStr">
        <is>
          <t>01_M1_Profile_v1</t>
        </is>
      </c>
      <c r="D5" s="54" t="inlineStr">
        <is>
          <t>FICTIONAL TRAINING ARTIFACT — CREATED FOR PRACTICE PURPOSES ONLY</t>
        </is>
      </c>
      <c r="E5" s="54" t="inlineStr">
        <is>
          <t>Shows workplace readiness.</t>
        </is>
      </c>
    </row>
    <row r="6" ht="15" customHeight="1" s="45">
      <c r="A6" s="54" t="inlineStr">
        <is>
          <t>02_NDIS_Admin</t>
        </is>
      </c>
      <c r="B6" s="54" t="inlineStr">
        <is>
          <t>M5 glossary, M6 plan exercise, M7 role triage, M8 source check</t>
        </is>
      </c>
      <c r="C6" s="54" t="inlineStr">
        <is>
          <t>02_M6_PlanBreakdown_v1</t>
        </is>
      </c>
      <c r="D6" s="54" t="inlineStr">
        <is>
          <t>FICTIONAL TRAINING ARTIFACT — CREATED FOR PRACTICE PURPOSES ONLY</t>
        </is>
      </c>
      <c r="E6" s="54" t="inlineStr">
        <is>
          <t>Shows NDIS admin reasoning.</t>
        </is>
      </c>
    </row>
    <row r="7" ht="15" customHeight="1" s="45">
      <c r="A7" s="54" t="inlineStr">
        <is>
          <t>03_Operations</t>
        </is>
      </c>
      <c r="B7" s="54" t="inlineStr">
        <is>
          <t>M9 roster, M10 onboarding/agreement, M11 invoice log</t>
        </is>
      </c>
      <c r="C7" s="54" t="inlineStr">
        <is>
          <t>03_M9_RosterCheck_v1</t>
        </is>
      </c>
      <c r="D7" s="54" t="inlineStr">
        <is>
          <t>FICTIONAL TRAINING ARTIFACT — CREATED FOR PRACTICE PURPOSES ONLY</t>
        </is>
      </c>
      <c r="E7" s="54" t="inlineStr">
        <is>
          <t>Shows operational accuracy.</t>
        </is>
      </c>
    </row>
    <row r="8" ht="15" customHeight="1" s="45">
      <c r="A8" s="54" t="inlineStr">
        <is>
          <t>04_Privacy_Compliance</t>
        </is>
      </c>
      <c r="B8" s="54" t="inlineStr">
        <is>
          <t>M12 privacy response, M13 incident/complaint work, M14 SOP</t>
        </is>
      </c>
      <c r="C8" s="54" t="inlineStr">
        <is>
          <t>04_M12_PrivacyResponse_v1</t>
        </is>
      </c>
      <c r="D8" s="54" t="inlineStr">
        <is>
          <t>FICTIONAL TRAINING ARTIFACT — CREATED FOR PRACTICE PURPOSES ONLY</t>
        </is>
      </c>
      <c r="E8" s="54" t="inlineStr">
        <is>
          <t>Shows boundaries and escalation.</t>
        </is>
      </c>
    </row>
    <row r="9" ht="15" customHeight="1" s="45">
      <c r="A9" s="54" t="inlineStr">
        <is>
          <t>05_Capstone</t>
        </is>
      </c>
      <c r="B9" s="54" t="inlineStr">
        <is>
          <t>M15 mixed week, follow-up log, handover, source log</t>
        </is>
      </c>
      <c r="C9" s="54" t="inlineStr">
        <is>
          <t>05_M15_Capstone_v1</t>
        </is>
      </c>
      <c r="D9" s="54" t="inlineStr">
        <is>
          <t>FICTIONAL TRAINING ARTIFACT — CREATED FOR PRACTICE PURPOSES ONLY</t>
        </is>
      </c>
      <c r="E9" s="54" t="inlineStr">
        <is>
          <t>Shows integrated execution.</t>
        </is>
      </c>
    </row>
    <row r="10" ht="15" customHeight="1" s="45">
      <c r="A10" s="54" t="inlineStr">
        <is>
          <t>06_Job_Readiness</t>
        </is>
      </c>
      <c r="B10" s="54" t="inlineStr">
        <is>
          <t>M16 profile/cover letter, M17 30-day plan/trial task</t>
        </is>
      </c>
      <c r="C10" s="54" t="inlineStr">
        <is>
          <t>06_Profile_v1</t>
        </is>
      </c>
      <c r="D10" s="54" t="inlineStr">
        <is>
          <t>FICTIONAL TRAINING ARTIFACT — CREATED FOR PRACTICE PURPOSES ONLY</t>
        </is>
      </c>
      <c r="E10" s="54" t="inlineStr">
        <is>
          <t>Shows job application readiness.</t>
        </is>
      </c>
    </row>
    <row r="13" ht="15" customHeight="1" s="45">
      <c r="A13" s="57" t="inlineStr">
        <is>
          <t>Client showcase</t>
        </is>
      </c>
      <c r="B13" s="54" t="inlineStr">
        <is>
          <t>Select 5–6 polished pieces from certification evidence; keep complete evidence available for assessment.</t>
        </is>
      </c>
      <c r="C13" s="83" t="n"/>
      <c r="D13" s="83" t="n"/>
      <c r="E13" s="83" t="n"/>
    </row>
  </sheetData>
  <mergeCells count="3">
    <mergeCell ref="A2:E2"/>
    <mergeCell ref="B13:E13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D9A441"/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1" customWidth="1" style="44" min="3" max="3"/>
    <col width="42" customWidth="1" style="44" min="4" max="6"/>
  </cols>
  <sheetData>
    <row r="1" ht="19.5" customHeight="1" s="45">
      <c r="A1" s="58" t="inlineStr">
        <is>
          <t>Certification Rubric — v2.3</t>
        </is>
      </c>
    </row>
    <row r="2" ht="15" customHeight="1" s="45">
      <c r="A2" s="75" t="inlineStr">
        <is>
          <t>10 criteria × 0–2 = 20 points. Pass: 16/20 or higher, with every Required criterion at least 1.</t>
        </is>
      </c>
    </row>
    <row r="4" ht="15" customHeight="1" s="45">
      <c r="A4" s="76" t="inlineStr">
        <is>
          <t>#</t>
        </is>
      </c>
      <c r="B4" s="76" t="inlineStr">
        <is>
          <t>Criterion</t>
        </is>
      </c>
      <c r="C4" s="76" t="inlineStr">
        <is>
          <t>Required?</t>
        </is>
      </c>
      <c r="D4" s="76" t="inlineStr">
        <is>
          <t>0 — Not demonstrated / unsafe</t>
        </is>
      </c>
      <c r="E4" s="76" t="inlineStr">
        <is>
          <t>1 — Partial</t>
        </is>
      </c>
      <c r="F4" s="76" t="inlineStr">
        <is>
          <t>2 — Demonstrated</t>
        </is>
      </c>
    </row>
    <row r="5" ht="27.75" customHeight="1" s="45">
      <c r="A5" s="54" t="n">
        <v>1</v>
      </c>
      <c r="B5" s="54" t="inlineStr">
        <is>
          <t>Administrative Accuracy</t>
        </is>
      </c>
      <c r="C5" s="54" t="inlineStr">
        <is>
          <t>Yes</t>
        </is>
      </c>
      <c r="D5" s="54" t="inlineStr">
        <is>
          <t>Materially incorrect records, roster/invoice errors, or unsafe checking.</t>
        </is>
      </c>
      <c r="E5" s="54" t="inlineStr">
        <is>
          <t>Minor errors; core work partly correct after review.</t>
        </is>
      </c>
      <c r="F5" s="54" t="inlineStr">
        <is>
          <t>Accurate records, checks and outputs with no material avoidable errors.</t>
        </is>
      </c>
    </row>
    <row r="6" ht="27.75" customHeight="1" s="45">
      <c r="A6" s="54" t="n">
        <v>2</v>
      </c>
      <c r="B6" s="54" t="inlineStr">
        <is>
          <t>NDIS Accuracy / Appropriate Verification</t>
        </is>
      </c>
      <c r="C6" s="54" t="inlineStr">
        <is>
          <t>Yes</t>
        </is>
      </c>
      <c r="D6" s="54" t="inlineStr">
        <is>
          <t>Incorrect current claim or confident unsupported statement.</t>
        </is>
      </c>
      <c r="E6" s="54" t="inlineStr">
        <is>
          <t>Correct general approach but verification/source logging is incomplete.</t>
        </is>
      </c>
      <c r="F6" s="54" t="inlineStr">
        <is>
          <t>Uses current official sources when needed and clearly labels uncertainty.</t>
        </is>
      </c>
    </row>
    <row r="7" ht="27.75" customHeight="1" s="45">
      <c r="A7" s="54" t="n">
        <v>3</v>
      </c>
      <c r="B7" s="54" t="inlineStr">
        <is>
          <t>Communication</t>
        </is>
      </c>
      <c r="C7" s="54" t="inlineStr">
        <is>
          <t>Yes</t>
        </is>
      </c>
      <c r="D7" s="54" t="inlineStr">
        <is>
          <t>Unclear, misleading, or inappropriate message.</t>
        </is>
      </c>
      <c r="E7" s="54" t="inlineStr">
        <is>
          <t>Understandable but needs editing or stronger ownership.</t>
        </is>
      </c>
      <c r="F7" s="54" t="inlineStr">
        <is>
          <t>Clear, professional, concise, appropriately directed.</t>
        </is>
      </c>
    </row>
    <row r="8" ht="15" customHeight="1" s="45">
      <c r="A8" s="54" t="n">
        <v>4</v>
      </c>
      <c r="B8" s="54" t="inlineStr">
        <is>
          <t>Organization</t>
        </is>
      </c>
      <c r="C8" s="54" t="inlineStr">
        <is>
          <t>Yes</t>
        </is>
      </c>
      <c r="D8" s="54" t="inlineStr">
        <is>
          <t>Work cannot be followed or key evidence is missing.</t>
        </is>
      </c>
      <c r="E8" s="54" t="inlineStr">
        <is>
          <t>Basic organization with gaps.</t>
        </is>
      </c>
      <c r="F8" s="54" t="inlineStr">
        <is>
          <t>Logical folders, naming, task tracking and version control.</t>
        </is>
      </c>
    </row>
    <row r="9" ht="27.75" customHeight="1" s="45">
      <c r="A9" s="54" t="n">
        <v>5</v>
      </c>
      <c r="B9" s="54" t="inlineStr">
        <is>
          <t>Privacy / Fictional Data Handling</t>
        </is>
      </c>
      <c r="C9" s="54" t="inlineStr">
        <is>
          <t>Yes</t>
        </is>
      </c>
      <c r="D9" s="54" t="inlineStr">
        <is>
          <t>Uses/discloses information unsafely or treats fictional data as real.</t>
        </is>
      </c>
      <c r="E9" s="54" t="inlineStr">
        <is>
          <t>Recognizes privacy issue but response needs correction.</t>
        </is>
      </c>
      <c r="F9" s="54" t="inlineStr">
        <is>
          <t>Uses fictional data safely and follows provider-authorized workflow principles.</t>
        </is>
      </c>
    </row>
    <row r="10" ht="27.75" customHeight="1" s="45">
      <c r="A10" s="54" t="n">
        <v>6</v>
      </c>
      <c r="B10" s="54" t="inlineStr">
        <is>
          <t>Boundary Judgment</t>
        </is>
      </c>
      <c r="C10" s="54" t="inlineStr">
        <is>
          <t>Yes</t>
        </is>
      </c>
      <c r="D10" s="54" t="inlineStr">
        <is>
          <t>Makes clinical, legal, funding, approval or provider decisions outside role.</t>
        </is>
      </c>
      <c r="E10" s="54" t="inlineStr">
        <is>
          <t>Recognizes some boundaries but needs prompting.</t>
        </is>
      </c>
      <c r="F10" s="54" t="inlineStr">
        <is>
          <t>Consistently gathers, drafts, checks, asks and hands off within role.</t>
        </is>
      </c>
    </row>
    <row r="11" ht="27.75" customHeight="1" s="45">
      <c r="A11" s="54" t="n">
        <v>7</v>
      </c>
      <c r="B11" s="54" t="inlineStr">
        <is>
          <t>Escalation Judgment</t>
        </is>
      </c>
      <c r="C11" s="54" t="inlineStr">
        <is>
          <t>Yes</t>
        </is>
      </c>
      <c r="D11" s="54" t="inlineStr">
        <is>
          <t>Fails to escalate a safety/privacy/compliance/authority issue.</t>
        </is>
      </c>
      <c r="E11" s="54" t="inlineStr">
        <is>
          <t>Escalates but channel/owner/timing needs correction.</t>
        </is>
      </c>
      <c r="F11" s="54" t="inlineStr">
        <is>
          <t>Identifies owner, channel, urgency, handoff and follow-up appropriately.</t>
        </is>
      </c>
    </row>
    <row r="12" ht="27.75" customHeight="1" s="45">
      <c r="A12" s="54" t="n">
        <v>8</v>
      </c>
      <c r="B12" s="54" t="inlineStr">
        <is>
          <t>Follow-Up / Closure</t>
        </is>
      </c>
      <c r="C12" s="54" t="inlineStr">
        <is>
          <t>Yes</t>
        </is>
      </c>
      <c r="D12" s="54" t="inlineStr">
        <is>
          <t>Leaves open work untracked or marks closure without evidence.</t>
        </is>
      </c>
      <c r="E12" s="54" t="inlineStr">
        <is>
          <t>Tracks some follow-up but misses owner/trigger/closure detail.</t>
        </is>
      </c>
      <c r="F12" s="54" t="inlineStr">
        <is>
          <t>Clearly records outstanding item, owner, next action, trigger, response and closure.</t>
        </is>
      </c>
    </row>
    <row r="13" ht="27.75" customHeight="1" s="45">
      <c r="A13" s="54" t="n">
        <v>9</v>
      </c>
      <c r="B13" s="54" t="inlineStr">
        <is>
          <t>Documentation</t>
        </is>
      </c>
      <c r="C13" s="54" t="inlineStr">
        <is>
          <t>Yes</t>
        </is>
      </c>
      <c r="D13" s="54" t="inlineStr">
        <is>
          <t>Facts are missing, judgment is presented as fact, or logs are incomplete.</t>
        </is>
      </c>
      <c r="E13" s="54" t="inlineStr">
        <is>
          <t>Mostly factual but needs structure/detail.</t>
        </is>
      </c>
      <c r="F13" s="54" t="inlineStr">
        <is>
          <t>Neutral, factual, complete and traceable documentation.</t>
        </is>
      </c>
    </row>
    <row r="14" ht="27.75" customHeight="1" s="45">
      <c r="A14" s="54" t="n">
        <v>10</v>
      </c>
      <c r="B14" s="54" t="inlineStr">
        <is>
          <t>Portfolio Completeness / Honest Representation</t>
        </is>
      </c>
      <c r="C14" s="54" t="inlineStr">
        <is>
          <t>Yes</t>
        </is>
      </c>
      <c r="D14" s="54" t="inlineStr">
        <is>
          <t>Missing required evidence or claims real client/NDIS certification experience inaccurately.</t>
        </is>
      </c>
      <c r="E14" s="54" t="inlineStr">
        <is>
          <t>Evidence mostly complete with labeling/organization gaps.</t>
        </is>
      </c>
      <c r="F14" s="54" t="inlineStr">
        <is>
          <t>Complete required evidence, clearly fictional, professionally presented.</t>
        </is>
      </c>
    </row>
    <row r="17" ht="15" customHeight="1" s="45">
      <c r="A17" s="57" t="inlineStr">
        <is>
          <t>Pass rule</t>
        </is>
      </c>
      <c r="B17" s="54" t="inlineStr">
        <is>
          <t>16/20 or higher AND every Required criterion scores at least 1.</t>
        </is>
      </c>
      <c r="C17" s="83" t="n"/>
      <c r="D17" s="83" t="n"/>
      <c r="E17" s="83" t="n"/>
      <c r="F17" s="83" t="n"/>
    </row>
    <row r="18" ht="15" customHeight="1" s="45">
      <c r="A18" s="57" t="inlineStr">
        <is>
          <t>Remediation</t>
        </is>
      </c>
      <c r="B18" s="54" t="inlineStr">
        <is>
          <t>Any 0 on a Required criterion blocks certification until corrected and reassessed. Safety/privacy/boundary failures require remediation.</t>
        </is>
      </c>
      <c r="C18" s="83" t="n"/>
      <c r="D18" s="83" t="n"/>
      <c r="E18" s="83" t="n"/>
      <c r="F18" s="83" t="n"/>
    </row>
    <row r="19" ht="15" customHeight="1" s="45">
      <c r="A19" s="57" t="inlineStr">
        <is>
          <t>Calibration</t>
        </is>
      </c>
      <c r="B19" s="54" t="inlineStr">
        <is>
          <t>16/20 is 80%; it demonstrates consistent beginner competence while the required-criterion floor prevents unsafe gaps from being averaged away.</t>
        </is>
      </c>
      <c r="C19" s="83" t="n"/>
      <c r="D19" s="83" t="n"/>
      <c r="E19" s="83" t="n"/>
      <c r="F19" s="83" t="n"/>
    </row>
    <row r="20" ht="15" customHeight="1" s="45">
      <c r="A20" s="57" t="inlineStr">
        <is>
          <t>Human review</t>
        </is>
      </c>
      <c r="B20" s="54" t="inlineStr">
        <is>
          <t>Final certification is human-reviewed when current-law, privacy, safety, or ambiguous judgment issues arise.</t>
        </is>
      </c>
      <c r="C20" s="83" t="n"/>
      <c r="D20" s="83" t="n"/>
      <c r="E20" s="83" t="n"/>
      <c r="F20" s="83" t="n"/>
    </row>
  </sheetData>
  <mergeCells count="6">
    <mergeCell ref="A2:F2"/>
    <mergeCell ref="B20:F20"/>
    <mergeCell ref="A1:F1"/>
    <mergeCell ref="B19:F19"/>
    <mergeCell ref="B17:F17"/>
    <mergeCell ref="B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2" customWidth="1" style="44" min="3" max="3"/>
    <col width="42" customWidth="1" style="44" min="4" max="6"/>
  </cols>
  <sheetData>
    <row r="1" ht="19.5" customHeight="1" s="45">
      <c r="A1" s="58" t="inlineStr">
        <is>
          <t>Current Source Verification Log</t>
        </is>
      </c>
    </row>
    <row r="2" ht="15" customHeight="1" s="45">
      <c r="A2" s="75" t="inlineStr">
        <is>
          <t>Checked 25 Sep 2026. Recheck before lesson release and at maintenance reviews.</t>
        </is>
      </c>
    </row>
    <row r="4" ht="15" customHeight="1" s="45">
      <c r="A4" s="76" t="inlineStr">
        <is>
          <t>Source Area</t>
        </is>
      </c>
      <c r="B4" s="76" t="inlineStr">
        <is>
          <t>Official Source</t>
        </is>
      </c>
      <c r="C4" s="76" t="inlineStr">
        <is>
          <t>Verified</t>
        </is>
      </c>
      <c r="D4" s="76" t="inlineStr">
        <is>
          <t>What Was Verified</t>
        </is>
      </c>
      <c r="E4" s="76" t="inlineStr">
        <is>
          <t>Course Use</t>
        </is>
      </c>
      <c r="F4" s="76" t="inlineStr">
        <is>
          <t>Review Rule</t>
        </is>
      </c>
    </row>
    <row r="5" ht="27.75" customHeight="1" s="45">
      <c r="A5" s="54" t="inlineStr">
        <is>
          <t>Pricing schedules</t>
        </is>
      </c>
      <c r="B5" s="54" t="inlineStr">
        <is>
          <t>https://www.ndis.gov.au/providers/pricing-and-payments/pricing/pricing-arrangements</t>
        </is>
      </c>
      <c r="C5" s="54" t="inlineStr">
        <is>
          <t>25/09/2026</t>
        </is>
      </c>
      <c r="D5" s="54" t="inlineStr">
        <is>
          <t>2026–27 pricing schedules effective 24 Sep 2026; maximum prices apply to NDIA-managed and plan-managed participants.</t>
        </is>
      </c>
      <c r="E5" s="54" t="inlineStr">
        <is>
          <t>M8/M11 source-check method; Wattlebird prices remain fictional.</t>
        </is>
      </c>
      <c r="F5" s="54" t="inlineStr">
        <is>
          <t>Recheck before release and after pricing updates.</t>
        </is>
      </c>
    </row>
    <row r="6" ht="27.75" customHeight="1" s="45">
      <c r="A6" s="54" t="inlineStr">
        <is>
          <t>Support Catalogue</t>
        </is>
      </c>
      <c r="B6" s="54" t="inlineStr">
        <is>
          <t>https://www.ndis.gov.au/providers/pricing-and-payments/pricing/what-support-catalogue</t>
        </is>
      </c>
      <c r="C6" s="54" t="inlineStr">
        <is>
          <t>25/09/2026</t>
        </is>
      </c>
      <c r="D6" s="54" t="inlineStr">
        <is>
          <t>2026–27 Support Catalogue exists; used with pricing schedule; includes support items, claim types and claiming guidance.</t>
        </is>
      </c>
      <c r="E6" s="54" t="inlineStr">
        <is>
          <t>M8 lookup process.</t>
        </is>
      </c>
      <c r="F6" s="54" t="inlineStr">
        <is>
          <t>Recheck before release.</t>
        </is>
      </c>
    </row>
    <row r="7" ht="27.75" customHeight="1" s="45">
      <c r="A7" s="54" t="inlineStr">
        <is>
          <t>Support budgets</t>
        </is>
      </c>
      <c r="B7" s="54" t="inlineStr">
        <is>
          <t>https://www.ndis.gov.au/participants/using-your-funding/ndis-support-budgets/guide-ndis-support-budgets</t>
        </is>
      </c>
      <c r="C7" s="54" t="inlineStr">
        <is>
          <t>25/09/2026</t>
        </is>
      </c>
      <c r="D7" s="54" t="inlineStr">
        <is>
          <t>Current page describes 4 support budgets and 21 support categories; site notes information may change with new legislation.</t>
        </is>
      </c>
      <c r="E7" s="54" t="inlineStr">
        <is>
          <t>M5/M6 orientation only; avoid treating structure as permanent.</t>
        </is>
      </c>
      <c r="F7" s="54" t="inlineStr">
        <is>
          <t>Recheck before release.</t>
        </is>
      </c>
    </row>
    <row r="8" ht="27.75" customHeight="1" s="45">
      <c r="A8" s="54" t="inlineStr">
        <is>
          <t>New computer system</t>
        </is>
      </c>
      <c r="B8" s="54" t="inlineStr">
        <is>
          <t>https://www.ndis.gov.au/support-catalogue-and-our-new-computer-system</t>
        </is>
      </c>
      <c r="C8" s="54" t="inlineStr">
        <is>
          <t>25/09/2026</t>
        </is>
      </c>
      <c r="D8" s="54" t="inlineStr">
        <is>
          <t>Current guidance describes category-level funding in the new computer system and differences from legacy item structures.</t>
        </is>
      </c>
      <c r="E8" s="54" t="inlineStr">
        <is>
          <t>M6/M14 terminology caution.</t>
        </is>
      </c>
      <c r="F8" s="54" t="inlineStr">
        <is>
          <t>Recheck before release.</t>
        </is>
      </c>
    </row>
    <row r="9" ht="27.75" customHeight="1" s="45">
      <c r="A9" s="54" t="inlineStr">
        <is>
          <t>Provider portals</t>
        </is>
      </c>
      <c r="B9" s="54" t="inlineStr">
        <is>
          <t>https://www.ndis.gov.au/providers/working-provider/using-provider-portals/how-use-provider-portals</t>
        </is>
      </c>
      <c r="C9" s="54" t="inlineStr">
        <is>
          <t>25/09/2026</t>
        </is>
      </c>
      <c r="D9" s="54" t="inlineStr">
        <is>
          <t>Current myID/RAM access and distinction between my NDIS provider portal and myplace provider portal.</t>
        </is>
      </c>
      <c r="E9" s="54" t="inlineStr">
        <is>
          <t>M14 awareness only; lab remains fictional.</t>
        </is>
      </c>
      <c r="F9" s="54" t="inlineStr">
        <is>
          <t>Recheck before release.</t>
        </is>
      </c>
    </row>
    <row r="10" ht="27.75" customHeight="1" s="45">
      <c r="A10" s="54" t="inlineStr">
        <is>
          <t>Worker screening</t>
        </is>
      </c>
      <c r="B10" s="54" t="inlineStr">
        <is>
          <t>https://www.ndiscommission.gov.au/workforce/worker-screening/worker-screening-registered-providers</t>
        </is>
      </c>
      <c r="C10" s="54" t="inlineStr">
        <is>
          <t>25/09/2026</t>
        </is>
      </c>
      <c r="D10" s="54" t="inlineStr">
        <is>
          <t>Risk-assessed roles, clearance/status concepts and provider responsibilities; screening database is provider-controlled.</t>
        </is>
      </c>
      <c r="E10" s="54" t="inlineStr">
        <is>
          <t>M1/M9/M13; learner escalates rather than independently deciding.</t>
        </is>
      </c>
      <c r="F10" s="54" t="inlineStr">
        <is>
          <t>Recheck before release.</t>
        </is>
      </c>
    </row>
    <row r="11" ht="41.25" customHeight="1" s="45">
      <c r="A11" s="54" t="inlineStr">
        <is>
          <t>Reportable incidents</t>
        </is>
      </c>
      <c r="B11" s="54" t="inlineStr">
        <is>
          <t>https://www.ndiscommission.gov.au/rules-and-standards/reportable-incidents-and-incident-management/reportable-incidents</t>
        </is>
      </c>
      <c r="C11" s="54" t="inlineStr">
        <is>
          <t>25/09/2026</t>
        </is>
      </c>
      <c r="D11" s="54" t="inlineStr">
        <is>
          <t>Current notification categories and timeframes; provider/key personnel responsibility.</t>
        </is>
      </c>
      <c r="E11" s="54" t="inlineStr">
        <is>
          <t>M13 urgent escalation; learner recognizes/records/escalates.</t>
        </is>
      </c>
      <c r="F11" s="54" t="inlineStr">
        <is>
          <t>Recheck before release.</t>
        </is>
      </c>
    </row>
    <row r="12" ht="41.25" customHeight="1" s="45">
      <c r="A12" s="54" t="inlineStr">
        <is>
          <t>Incident management</t>
        </is>
      </c>
      <c r="B12" s="54" t="inlineStr">
        <is>
          <t>https://www.ndiscommission.gov.au/rules-and-standards/reportable-incidents-and-incident-management/incident-management</t>
        </is>
      </c>
      <c r="C12" s="54" t="inlineStr">
        <is>
          <t>25/09/2026</t>
        </is>
      </c>
      <c r="D12" s="54" t="inlineStr">
        <is>
          <t>Registered providers need written incident procedures covering identification, recording, reporting, ownership and corrective action.</t>
        </is>
      </c>
      <c r="E12" s="54" t="inlineStr">
        <is>
          <t>M13 workflow.</t>
        </is>
      </c>
      <c r="F12" s="54" t="inlineStr">
        <is>
          <t>Recheck before release.</t>
        </is>
      </c>
    </row>
    <row r="13" ht="41.25" customHeight="1" s="45">
      <c r="A13" s="54" t="inlineStr">
        <is>
          <t>Privacy APP 8</t>
        </is>
      </c>
      <c r="B13" s="54" t="inlineStr">
        <is>
          <t>https://www.oaic.gov.au/privacy/australian-privacy-principles/australian-privacy-principles-guidelines/chapter-8-app-8-cross-border-disclosure-of-personal-information</t>
        </is>
      </c>
      <c r="C13" s="54" t="inlineStr">
        <is>
          <t>25/09/2026</t>
        </is>
      </c>
      <c r="D13" s="54" t="inlineStr">
        <is>
          <t>Cross-border disclosure framework and reasonable-steps/accountability concepts.</t>
        </is>
      </c>
      <c r="E13" s="54" t="inlineStr">
        <is>
          <t>M12 offshore-data awareness; not legal advice.</t>
        </is>
      </c>
      <c r="F13" s="54" t="inlineStr">
        <is>
          <t>Recheck before release.</t>
        </is>
      </c>
    </row>
    <row r="14" ht="41.25" customHeight="1" s="45">
      <c r="A14" s="54" t="inlineStr">
        <is>
          <t>Privacy APP 11</t>
        </is>
      </c>
      <c r="B14" s="54" t="inlineStr">
        <is>
          <t>https://www.oaic.gov.au/privacy/australian-privacy-principles/australian-privacy-principles-guidelines/chapter-11-app-11-security-of-personal-information</t>
        </is>
      </c>
      <c r="C14" s="54" t="inlineStr">
        <is>
          <t>25/09/2026</t>
        </is>
      </c>
      <c r="D14" s="54" t="inlineStr">
        <is>
          <t>Reasonable security measures and lifecycle considerations for personal information.</t>
        </is>
      </c>
      <c r="E14" s="54" t="inlineStr">
        <is>
          <t>M12 security workflow.</t>
        </is>
      </c>
      <c r="F14" s="54" t="inlineStr">
        <is>
          <t>Recheck before release.</t>
        </is>
      </c>
    </row>
    <row r="15" ht="27.75" customHeight="1" s="45">
      <c r="A15" s="54" t="inlineStr">
        <is>
          <t>Victoria public holidays</t>
        </is>
      </c>
      <c r="B15" s="54" t="inlineStr">
        <is>
          <t>https://business.vic.gov.au/business-information/public-holidays/victorian-public-holidays-2026</t>
        </is>
      </c>
      <c r="C15" s="54" t="inlineStr">
        <is>
          <t>25/09/2026</t>
        </is>
      </c>
      <c r="D15" s="54" t="inlineStr">
        <is>
          <t>Melbourne Cup Day is 3 Nov 2026 across Victoria unless an alternate local holiday applies.</t>
        </is>
      </c>
      <c r="E15" s="54" t="inlineStr">
        <is>
          <t>M4 roster practice only.</t>
        </is>
      </c>
      <c r="F15" s="54" t="inlineStr">
        <is>
          <t>Verify each year.</t>
        </is>
      </c>
    </row>
    <row r="16" ht="27.75" customHeight="1" s="45">
      <c r="A16" s="54" t="inlineStr">
        <is>
          <t>Queensland special holidays</t>
        </is>
      </c>
      <c r="B16" s="54" t="inlineStr">
        <is>
          <t>https://www.qld.gov.au/recreation/travel/holidays/special</t>
        </is>
      </c>
      <c r="C16" s="54" t="inlineStr">
        <is>
          <t>25/09/2026</t>
        </is>
      </c>
      <c r="D16" s="54" t="inlineStr">
        <is>
          <t>3 Nov 2026 has listed local special holidays, but not Gold Coast; therefore Gold Coast is not treated as a statewide holiday in this simulation.</t>
        </is>
      </c>
      <c r="E16" s="54" t="inlineStr">
        <is>
          <t>M4 roster practice only.</t>
        </is>
      </c>
      <c r="F16" s="54" t="inlineStr">
        <is>
          <t>Verify each year/locality.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FF38B2AC"/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0" customWidth="1" style="44" min="3" max="3"/>
    <col width="42" customWidth="1" style="44" min="4" max="5"/>
  </cols>
  <sheetData>
    <row r="1" ht="19.5" customHeight="1" s="45">
      <c r="A1" s="58" t="inlineStr">
        <is>
          <t>Implementation QA Checklist</t>
        </is>
      </c>
    </row>
    <row r="2" ht="15" customHeight="1" s="45">
      <c r="A2" s="75" t="inlineStr">
        <is>
          <t>Completed 25 Sep 2026. Eight requested implementation items.</t>
        </is>
      </c>
    </row>
    <row r="4" ht="15" customHeight="1" s="45">
      <c r="A4" s="76" t="inlineStr">
        <is>
          <t>#</t>
        </is>
      </c>
      <c r="B4" s="76" t="inlineStr">
        <is>
          <t>Requirement</t>
        </is>
      </c>
      <c r="C4" s="76" t="inlineStr">
        <is>
          <t>Status</t>
        </is>
      </c>
      <c r="D4" s="76" t="inlineStr">
        <is>
          <t>Evidence in Pack</t>
        </is>
      </c>
      <c r="E4" s="76" t="inlineStr">
        <is>
          <t>Notes</t>
        </is>
      </c>
    </row>
    <row r="5" ht="15" customHeight="1" s="45">
      <c r="A5" s="54" t="n">
        <v>1</v>
      </c>
      <c r="B5" s="54" t="inlineStr">
        <is>
          <t>Correct staff count and version metadata</t>
        </is>
      </c>
      <c r="C5" s="54" t="inlineStr">
        <is>
          <t>PASS</t>
        </is>
      </c>
      <c r="D5" s="54" t="inlineStr">
        <is>
          <t>Start_Here</t>
        </is>
      </c>
      <c r="E5" s="54" t="inlineStr">
        <is>
          <t>21 staff records; pack version v2.3 implementation.</t>
        </is>
      </c>
    </row>
    <row r="6" ht="15" customHeight="1" s="45">
      <c r="A6" s="54" t="n">
        <v>2</v>
      </c>
      <c r="B6" s="54" t="inlineStr">
        <is>
          <t>Follow-Up/Handover Log</t>
        </is>
      </c>
      <c r="C6" s="54" t="inlineStr">
        <is>
          <t>PASS</t>
        </is>
      </c>
      <c r="D6" s="54" t="inlineStr">
        <is>
          <t>Follow_Up_Log</t>
        </is>
      </c>
      <c r="E6" s="54" t="inlineStr">
        <is>
          <t>Owner, next action, channel, trigger, response and closure.</t>
        </is>
      </c>
    </row>
    <row r="7" ht="15" customHeight="1" s="45">
      <c r="A7" s="54" t="n">
        <v>3</v>
      </c>
      <c r="B7" s="54" t="inlineStr">
        <is>
          <t>Answer-key v2.3 structure</t>
        </is>
      </c>
      <c r="C7" s="54" t="inlineStr">
        <is>
          <t>PASS</t>
        </is>
      </c>
      <c r="D7" s="54" t="inlineStr">
        <is>
          <t>Separate answer-key workbook</t>
        </is>
      </c>
      <c r="E7" s="54" t="inlineStr">
        <is>
          <t>Operational scenarios use the 12-field standard.</t>
        </is>
      </c>
    </row>
    <row r="8" ht="15" customHeight="1" s="45">
      <c r="A8" s="54" t="n">
        <v>4</v>
      </c>
      <c r="B8" s="54" t="inlineStr">
        <is>
          <t>AI/data and credential safety</t>
        </is>
      </c>
      <c r="C8" s="54" t="inlineStr">
        <is>
          <t>PASS</t>
        </is>
      </c>
      <c r="D8" s="54" t="inlineStr">
        <is>
          <t>Security_Extensions</t>
        </is>
      </c>
      <c r="E8" s="54" t="inlineStr">
        <is>
          <t>Public AI, wrong recipient, personal storage, shared credentials.</t>
        </is>
      </c>
    </row>
    <row r="9" ht="15" customHeight="1" s="45">
      <c r="A9" s="54" t="n">
        <v>5</v>
      </c>
      <c r="B9" s="54" t="inlineStr">
        <is>
          <t>Prioritization calibration</t>
        </is>
      </c>
      <c r="C9" s="54" t="inlineStr">
        <is>
          <t>PASS</t>
        </is>
      </c>
      <c r="D9" s="54" t="inlineStr">
        <is>
          <t>Answer-key workbook</t>
        </is>
      </c>
      <c r="E9" s="54" t="inlineStr">
        <is>
          <t>Five-level urgency/impact guide plus acceptable reasoning.</t>
        </is>
      </c>
    </row>
    <row r="10" ht="27.75" customHeight="1" s="45">
      <c r="A10" s="54" t="n">
        <v>6</v>
      </c>
      <c r="B10" s="54" t="inlineStr">
        <is>
          <t>M6 plan + M7 + M10 assets</t>
        </is>
      </c>
      <c r="C10" s="54" t="inlineStr">
        <is>
          <t>PASS</t>
        </is>
      </c>
      <c r="D10" s="54" t="inlineStr">
        <is>
          <t>M6_Fictional_Plan, M7_Tickets, M10_Onboarding, M10_Agreement</t>
        </is>
      </c>
      <c r="E10" s="54" t="inlineStr">
        <is>
          <t>All required assets included.</t>
        </is>
      </c>
    </row>
    <row r="11" ht="15" customHeight="1" s="45">
      <c r="A11" s="54" t="n">
        <v>7</v>
      </c>
      <c r="B11" s="54" t="inlineStr">
        <is>
          <t>M14 Systems Lab + M15 Capstone</t>
        </is>
      </c>
      <c r="C11" s="54" t="inlineStr">
        <is>
          <t>PASS</t>
        </is>
      </c>
      <c r="D11" s="54" t="inlineStr">
        <is>
          <t>M14_* sheets, M15_Capstone</t>
        </is>
      </c>
      <c r="E11" s="54" t="inlineStr">
        <is>
          <t>Fictional systems and fixed mixed-week pack included.</t>
        </is>
      </c>
    </row>
    <row r="12" ht="15" customHeight="1" s="45">
      <c r="A12" s="54" t="n">
        <v>8</v>
      </c>
      <c r="B12" s="54" t="inlineStr">
        <is>
          <t>Certification threshold + source verification</t>
        </is>
      </c>
      <c r="C12" s="54" t="inlineStr">
        <is>
          <t>PASS</t>
        </is>
      </c>
      <c r="D12" s="54" t="inlineStr">
        <is>
          <t>Certification_Rubric, Source_Verification</t>
        </is>
      </c>
      <c r="E12" s="54" t="inlineStr">
        <is>
          <t>16/20 threshold; official sources checked 25 Sep 2026.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1" customWidth="1" style="44" min="2" max="2"/>
    <col width="16" customWidth="1" style="44" min="3" max="3"/>
    <col width="42" customWidth="1" style="44" min="4" max="4"/>
    <col width="11" customWidth="1" style="44" min="5" max="6"/>
    <col width="10" customWidth="1" style="44" min="7" max="8"/>
    <col width="15" customWidth="1" style="44" min="9" max="9"/>
    <col width="11" customWidth="1" style="44" min="10" max="10"/>
    <col width="42" customWidth="1" style="44" min="11" max="11"/>
  </cols>
  <sheetData>
    <row r="1" ht="17.25" customHeight="1" s="45">
      <c r="A1" s="58" t="inlineStr">
        <is>
          <t>M11 — Fictional Service-Delivery Evidence</t>
        </is>
      </c>
    </row>
    <row r="2" ht="15" customHeight="1" s="45">
      <c r="A2" s="84" t="inlineStr">
        <is>
          <t>FICTIONAL TRAINING DATA. Use to check whether invoiced services have matching delivery evidence.</t>
        </is>
      </c>
    </row>
    <row r="3" ht="27.75" customHeight="1" s="45">
      <c r="A3" s="78" t="inlineStr">
        <is>
          <t>Delivery ID</t>
        </is>
      </c>
      <c r="B3" s="78" t="inlineStr">
        <is>
          <t>Service Date</t>
        </is>
      </c>
      <c r="C3" s="78" t="inlineStr">
        <is>
          <t>Participant ID</t>
        </is>
      </c>
      <c r="D3" s="78" t="inlineStr">
        <is>
          <t>Participant Name</t>
        </is>
      </c>
      <c r="E3" s="78" t="inlineStr">
        <is>
          <t>Item Code</t>
        </is>
      </c>
      <c r="F3" s="78" t="inlineStr">
        <is>
          <t>Worker ID</t>
        </is>
      </c>
      <c r="G3" s="78" t="inlineStr">
        <is>
          <t>Start</t>
        </is>
      </c>
      <c r="H3" s="78" t="inlineStr">
        <is>
          <t>End</t>
        </is>
      </c>
      <c r="I3" s="78" t="inlineStr">
        <is>
          <t>Delivered Qty</t>
        </is>
      </c>
      <c r="J3" s="78" t="inlineStr">
        <is>
          <t>Status</t>
        </is>
      </c>
      <c r="K3" s="78" t="inlineStr">
        <is>
          <t>Evidence Note</t>
        </is>
      </c>
    </row>
    <row r="4" ht="15" customHeight="1" s="45">
      <c r="A4" s="54" t="inlineStr">
        <is>
          <t>SD-001</t>
        </is>
      </c>
      <c r="B4" s="85" t="n">
        <v>46321</v>
      </c>
      <c r="C4" s="54" t="inlineStr">
        <is>
          <t>P01</t>
        </is>
      </c>
      <c r="D4" s="54">
        <f>IFERROR(INDEX(Participants!$B$4:$B$15,MATCH(C4,Participants!$A$4:$A$15,0)),"NOT FOUND")</f>
        <v/>
      </c>
      <c r="E4" s="54" t="inlineStr">
        <is>
          <t>FX-CA-WD</t>
        </is>
      </c>
      <c r="F4" s="54" t="inlineStr">
        <is>
          <t>W01</t>
        </is>
      </c>
      <c r="G4" s="54" t="inlineStr">
        <is>
          <t>09:00</t>
        </is>
      </c>
      <c r="H4" s="54" t="inlineStr">
        <is>
          <t>11:00</t>
        </is>
      </c>
      <c r="I4" s="54" t="n">
        <v>2</v>
      </c>
      <c r="J4" s="54" t="inlineStr">
        <is>
          <t>Delivered</t>
        </is>
      </c>
      <c r="K4" s="54" t="inlineStr">
        <is>
          <t>Fictional delivery record linked to INV-1001.</t>
        </is>
      </c>
    </row>
    <row r="5" ht="15" customHeight="1" s="45">
      <c r="A5" s="54" t="inlineStr">
        <is>
          <t>SD-002</t>
        </is>
      </c>
      <c r="B5" s="85" t="n">
        <v>46321</v>
      </c>
      <c r="C5" s="54" t="inlineStr">
        <is>
          <t>P04</t>
        </is>
      </c>
      <c r="D5" s="54">
        <f>IFERROR(INDEX(Participants!$B$4:$B$15,MATCH(C5,Participants!$A$4:$A$15,0)),"NOT FOUND")</f>
        <v/>
      </c>
      <c r="E5" s="54" t="inlineStr">
        <is>
          <t>FX-DL-WD</t>
        </is>
      </c>
      <c r="F5" s="54" t="inlineStr">
        <is>
          <t>W10</t>
        </is>
      </c>
      <c r="G5" s="54" t="inlineStr">
        <is>
          <t>09:00</t>
        </is>
      </c>
      <c r="H5" s="54" t="inlineStr">
        <is>
          <t>13:00</t>
        </is>
      </c>
      <c r="I5" s="54" t="n">
        <v>4</v>
      </c>
      <c r="J5" s="54" t="inlineStr">
        <is>
          <t>Delivered</t>
        </is>
      </c>
      <c r="K5" s="54" t="inlineStr">
        <is>
          <t>Fictional delivery record linked to INV-1002.</t>
        </is>
      </c>
    </row>
    <row r="6" ht="15" customHeight="1" s="45">
      <c r="A6" s="54" t="inlineStr">
        <is>
          <t>SD-003</t>
        </is>
      </c>
      <c r="B6" s="85" t="n">
        <v>46322</v>
      </c>
      <c r="C6" s="54" t="inlineStr">
        <is>
          <t>P06</t>
        </is>
      </c>
      <c r="D6" s="54">
        <f>IFERROR(INDEX(Participants!$B$4:$B$15,MATCH(C6,Participants!$A$4:$A$15,0)),"NOT FOUND")</f>
        <v/>
      </c>
      <c r="E6" s="54" t="inlineStr">
        <is>
          <t>FX-DL-WD</t>
        </is>
      </c>
      <c r="F6" s="54" t="inlineStr">
        <is>
          <t>W06</t>
        </is>
      </c>
      <c r="G6" s="54" t="inlineStr">
        <is>
          <t>09:00</t>
        </is>
      </c>
      <c r="H6" s="54" t="inlineStr">
        <is>
          <t>13:00</t>
        </is>
      </c>
      <c r="I6" s="54" t="n">
        <v>4</v>
      </c>
      <c r="J6" s="54" t="inlineStr">
        <is>
          <t>Delivered</t>
        </is>
      </c>
      <c r="K6" s="54" t="inlineStr">
        <is>
          <t>Fictional delivery record linked to INV-1003.</t>
        </is>
      </c>
    </row>
    <row r="7" ht="15" customHeight="1" s="45">
      <c r="A7" s="54" t="inlineStr">
        <is>
          <t>SD-005</t>
        </is>
      </c>
      <c r="B7" s="85" t="n">
        <v>46323</v>
      </c>
      <c r="C7" s="54" t="inlineStr">
        <is>
          <t>P02</t>
        </is>
      </c>
      <c r="D7" s="54">
        <f>IFERROR(INDEX(Participants!$B$4:$B$15,MATCH(C7,Participants!$A$4:$A$15,0)),"NOT FOUND")</f>
        <v/>
      </c>
      <c r="E7" s="54" t="inlineStr">
        <is>
          <t>FX-DL-WD</t>
        </is>
      </c>
      <c r="F7" s="54" t="inlineStr">
        <is>
          <t>W10</t>
        </is>
      </c>
      <c r="G7" s="54" t="inlineStr">
        <is>
          <t>10:00</t>
        </is>
      </c>
      <c r="H7" s="54" t="inlineStr">
        <is>
          <t>14:00</t>
        </is>
      </c>
      <c r="I7" s="54" t="n">
        <v>4</v>
      </c>
      <c r="J7" s="54" t="inlineStr">
        <is>
          <t>Delivered</t>
        </is>
      </c>
      <c r="K7" s="54" t="inlineStr">
        <is>
          <t>Fictional delivery record linked to INV-1005.</t>
        </is>
      </c>
    </row>
    <row r="8" ht="15" customHeight="1" s="45">
      <c r="A8" s="54" t="inlineStr">
        <is>
          <t>SD-006</t>
        </is>
      </c>
      <c r="B8" s="85" t="n">
        <v>46323</v>
      </c>
      <c r="C8" s="54" t="inlineStr">
        <is>
          <t>P12</t>
        </is>
      </c>
      <c r="D8" s="54">
        <f>IFERROR(INDEX(Participants!$B$4:$B$15,MATCH(C8,Participants!$A$4:$A$15,0)),"NOT FOUND")</f>
        <v/>
      </c>
      <c r="E8" s="54" t="inlineStr">
        <is>
          <t>FX-PT-01</t>
        </is>
      </c>
      <c r="F8" s="54" t="inlineStr">
        <is>
          <t>A02</t>
        </is>
      </c>
      <c r="G8" s="54" t="inlineStr">
        <is>
          <t>13:00</t>
        </is>
      </c>
      <c r="H8" s="54" t="inlineStr">
        <is>
          <t>14:00</t>
        </is>
      </c>
      <c r="I8" s="54" t="n">
        <v>1</v>
      </c>
      <c r="J8" s="54" t="inlineStr">
        <is>
          <t>Delivered</t>
        </is>
      </c>
      <c r="K8" s="54" t="inlineStr">
        <is>
          <t>Fictional delivery record linked to INV-1006.</t>
        </is>
      </c>
    </row>
    <row r="9" ht="15" customHeight="1" s="45">
      <c r="A9" s="54" t="inlineStr">
        <is>
          <t>SD-007</t>
        </is>
      </c>
      <c r="B9" s="85" t="n">
        <v>46323</v>
      </c>
      <c r="C9" s="54" t="inlineStr">
        <is>
          <t>P07</t>
        </is>
      </c>
      <c r="D9" s="54">
        <f>IFERROR(INDEX(Participants!$B$4:$B$15,MATCH(C9,Participants!$A$4:$A$15,0)),"NOT FOUND")</f>
        <v/>
      </c>
      <c r="E9" s="54" t="inlineStr">
        <is>
          <t>FX-PS-01</t>
        </is>
      </c>
      <c r="F9" s="54" t="inlineStr">
        <is>
          <t>A03</t>
        </is>
      </c>
      <c r="G9" s="54" t="inlineStr">
        <is>
          <t>10:00</t>
        </is>
      </c>
      <c r="H9" s="54" t="inlineStr">
        <is>
          <t>11:00</t>
        </is>
      </c>
      <c r="I9" s="54" t="n">
        <v>1</v>
      </c>
      <c r="J9" s="54" t="inlineStr">
        <is>
          <t>Delivered</t>
        </is>
      </c>
      <c r="K9" s="54" t="inlineStr">
        <is>
          <t>Fictional delivery record linked to INV-1007.</t>
        </is>
      </c>
    </row>
    <row r="10" ht="15" customHeight="1" s="45">
      <c r="A10" s="54" t="inlineStr">
        <is>
          <t>SD-008</t>
        </is>
      </c>
      <c r="B10" s="85" t="n">
        <v>46324</v>
      </c>
      <c r="C10" s="54" t="inlineStr">
        <is>
          <t>P04</t>
        </is>
      </c>
      <c r="D10" s="54">
        <f>IFERROR(INDEX(Participants!$B$4:$B$15,MATCH(C10,Participants!$A$4:$A$15,0)),"NOT FOUND")</f>
        <v/>
      </c>
      <c r="E10" s="54" t="inlineStr">
        <is>
          <t>FX-OT-01</t>
        </is>
      </c>
      <c r="F10" s="54" t="inlineStr">
        <is>
          <t>A01</t>
        </is>
      </c>
      <c r="G10" s="54" t="inlineStr">
        <is>
          <t>09:00</t>
        </is>
      </c>
      <c r="H10" s="54" t="inlineStr">
        <is>
          <t>10:00</t>
        </is>
      </c>
      <c r="I10" s="54" t="n">
        <v>1</v>
      </c>
      <c r="J10" s="54" t="inlineStr">
        <is>
          <t>Delivered</t>
        </is>
      </c>
      <c r="K10" s="54" t="inlineStr">
        <is>
          <t>Fictional delivery record linked to INV-1008.</t>
        </is>
      </c>
    </row>
    <row r="11" ht="15" customHeight="1" s="45">
      <c r="A11" s="54" t="inlineStr">
        <is>
          <t>SD-009</t>
        </is>
      </c>
      <c r="B11" s="85" t="n">
        <v>46324</v>
      </c>
      <c r="C11" s="54" t="inlineStr">
        <is>
          <t>P08</t>
        </is>
      </c>
      <c r="D11" s="54">
        <f>IFERROR(INDEX(Participants!$B$4:$B$15,MATCH(C11,Participants!$A$4:$A$15,0)),"NOT FOUND")</f>
        <v/>
      </c>
      <c r="E11" s="54" t="inlineStr">
        <is>
          <t>FX-CA-WD</t>
        </is>
      </c>
      <c r="F11" s="54" t="inlineStr">
        <is>
          <t>W07</t>
        </is>
      </c>
      <c r="G11" s="54" t="inlineStr">
        <is>
          <t>09:00</t>
        </is>
      </c>
      <c r="H11" s="54" t="inlineStr">
        <is>
          <t>13:00</t>
        </is>
      </c>
      <c r="I11" s="54" t="n">
        <v>4</v>
      </c>
      <c r="J11" s="54" t="inlineStr">
        <is>
          <t>Delivered</t>
        </is>
      </c>
      <c r="K11" s="54" t="inlineStr">
        <is>
          <t>Fictional delivery record linked to INV-1009.</t>
        </is>
      </c>
    </row>
    <row r="12" ht="15" customHeight="1" s="45">
      <c r="A12" s="54" t="inlineStr">
        <is>
          <t>SD-010</t>
        </is>
      </c>
      <c r="B12" s="85" t="n">
        <v>46324</v>
      </c>
      <c r="C12" s="54" t="inlineStr">
        <is>
          <t>P03</t>
        </is>
      </c>
      <c r="D12" s="54">
        <f>IFERROR(INDEX(Participants!$B$4:$B$15,MATCH(C12,Participants!$A$4:$A$15,0)),"NOT FOUND")</f>
        <v/>
      </c>
      <c r="E12" s="54" t="inlineStr">
        <is>
          <t>FX-SC-01</t>
        </is>
      </c>
      <c r="F12" s="54" t="inlineStr">
        <is>
          <t>S03</t>
        </is>
      </c>
      <c r="G12" s="54" t="inlineStr">
        <is>
          <t>09:00</t>
        </is>
      </c>
      <c r="H12" s="54" t="inlineStr">
        <is>
          <t>11:00</t>
        </is>
      </c>
      <c r="I12" s="54" t="n">
        <v>2</v>
      </c>
      <c r="J12" s="54" t="inlineStr">
        <is>
          <t>Delivered</t>
        </is>
      </c>
      <c r="K12" s="54" t="inlineStr">
        <is>
          <t>Fictional delivery record linked to INV-1010.</t>
        </is>
      </c>
    </row>
    <row r="13" ht="15" customHeight="1" s="45">
      <c r="A13" s="54" t="inlineStr">
        <is>
          <t>SD-011</t>
        </is>
      </c>
      <c r="B13" s="85" t="n">
        <v>46325</v>
      </c>
      <c r="C13" s="54" t="inlineStr">
        <is>
          <t>P11</t>
        </is>
      </c>
      <c r="D13" s="54">
        <f>IFERROR(INDEX(Participants!$B$4:$B$15,MATCH(C13,Participants!$A$4:$A$15,0)),"NOT FOUND")</f>
        <v/>
      </c>
      <c r="E13" s="54" t="inlineStr">
        <is>
          <t>FX-DL-WD</t>
        </is>
      </c>
      <c r="F13" s="54" t="inlineStr">
        <is>
          <t>W09</t>
        </is>
      </c>
      <c r="G13" s="54" t="inlineStr">
        <is>
          <t>09:00</t>
        </is>
      </c>
      <c r="H13" s="54" t="inlineStr">
        <is>
          <t>13:00</t>
        </is>
      </c>
      <c r="I13" s="54" t="n">
        <v>4</v>
      </c>
      <c r="J13" s="54" t="inlineStr">
        <is>
          <t>Delivered</t>
        </is>
      </c>
      <c r="K13" s="54" t="inlineStr">
        <is>
          <t>Fictional delivery record linked to INV-1011.</t>
        </is>
      </c>
    </row>
    <row r="14" ht="15" customHeight="1" s="45">
      <c r="A14" s="54" t="inlineStr">
        <is>
          <t>SD-012</t>
        </is>
      </c>
      <c r="B14" s="85" t="n">
        <v>46325</v>
      </c>
      <c r="C14" s="54" t="inlineStr">
        <is>
          <t>P06</t>
        </is>
      </c>
      <c r="D14" s="54">
        <f>IFERROR(INDEX(Participants!$B$4:$B$15,MATCH(C14,Participants!$A$4:$A$15,0)),"NOT FOUND")</f>
        <v/>
      </c>
      <c r="E14" s="54" t="inlineStr">
        <is>
          <t>FX-DL-WE</t>
        </is>
      </c>
      <c r="F14" s="54" t="inlineStr">
        <is>
          <t>W06</t>
        </is>
      </c>
      <c r="G14" s="54" t="inlineStr">
        <is>
          <t>10:00</t>
        </is>
      </c>
      <c r="H14" s="54" t="inlineStr">
        <is>
          <t>13:00</t>
        </is>
      </c>
      <c r="I14" s="54" t="n">
        <v>3</v>
      </c>
      <c r="J14" s="54" t="inlineStr">
        <is>
          <t>Delivered</t>
        </is>
      </c>
      <c r="K14" s="54" t="inlineStr">
        <is>
          <t>Fictional delivery record linked to INV-1012.</t>
        </is>
      </c>
    </row>
    <row r="15" ht="15" customHeight="1" s="45">
      <c r="A15" s="54" t="inlineStr">
        <is>
          <t>SD-013</t>
        </is>
      </c>
      <c r="B15" s="85" t="n">
        <v>46325</v>
      </c>
      <c r="C15" s="54" t="inlineStr">
        <is>
          <t>P12</t>
        </is>
      </c>
      <c r="D15" s="54">
        <f>IFERROR(INDEX(Participants!$B$4:$B$15,MATCH(C15,Participants!$A$4:$A$15,0)),"NOT FOUND")</f>
        <v/>
      </c>
      <c r="E15" s="54" t="inlineStr">
        <is>
          <t>FX-DL-WD</t>
        </is>
      </c>
      <c r="F15" s="54" t="inlineStr">
        <is>
          <t>W10</t>
        </is>
      </c>
      <c r="G15" s="54" t="inlineStr">
        <is>
          <t>14:00</t>
        </is>
      </c>
      <c r="H15" s="54" t="inlineStr">
        <is>
          <t>18:00</t>
        </is>
      </c>
      <c r="I15" s="54" t="n">
        <v>4</v>
      </c>
      <c r="J15" s="54" t="inlineStr">
        <is>
          <t>Delivered</t>
        </is>
      </c>
      <c r="K15" s="54" t="inlineStr">
        <is>
          <t>Fictional delivery record linked to INV-1013.</t>
        </is>
      </c>
    </row>
    <row r="16" ht="15" customHeight="1" s="45">
      <c r="A16" s="54" t="inlineStr">
        <is>
          <t>SD-014</t>
        </is>
      </c>
      <c r="B16" s="85" t="n">
        <v>46326</v>
      </c>
      <c r="C16" s="54" t="inlineStr">
        <is>
          <t>P01</t>
        </is>
      </c>
      <c r="D16" s="54">
        <f>IFERROR(INDEX(Participants!$B$4:$B$15,MATCH(C16,Participants!$A$4:$A$15,0)),"NOT FOUND")</f>
        <v/>
      </c>
      <c r="E16" s="54" t="inlineStr">
        <is>
          <t>FX-CA-SA</t>
        </is>
      </c>
      <c r="F16" s="54" t="inlineStr">
        <is>
          <t>W09</t>
        </is>
      </c>
      <c r="G16" s="54" t="inlineStr">
        <is>
          <t>09:00</t>
        </is>
      </c>
      <c r="H16" s="54" t="inlineStr">
        <is>
          <t>13:00</t>
        </is>
      </c>
      <c r="I16" s="54" t="n">
        <v>4</v>
      </c>
      <c r="J16" s="54" t="inlineStr">
        <is>
          <t>Delivered</t>
        </is>
      </c>
      <c r="K16" s="54" t="inlineStr">
        <is>
          <t>Fictional delivery record linked to INV-1014.</t>
        </is>
      </c>
    </row>
    <row r="17" ht="15" customHeight="1" s="45">
      <c r="A17" s="54" t="inlineStr">
        <is>
          <t>SD-015</t>
        </is>
      </c>
      <c r="B17" s="85" t="n">
        <v>46327</v>
      </c>
      <c r="C17" s="54" t="inlineStr">
        <is>
          <t>P12</t>
        </is>
      </c>
      <c r="D17" s="54">
        <f>IFERROR(INDEX(Participants!$B$4:$B$15,MATCH(C17,Participants!$A$4:$A$15,0)),"NOT FOUND")</f>
        <v/>
      </c>
      <c r="E17" s="54" t="inlineStr">
        <is>
          <t>FX-DL-WD</t>
        </is>
      </c>
      <c r="F17" s="54" t="inlineStr">
        <is>
          <t>W09</t>
        </is>
      </c>
      <c r="G17" s="54" t="inlineStr">
        <is>
          <t>09:00</t>
        </is>
      </c>
      <c r="H17" s="54" t="inlineStr">
        <is>
          <t>13:00</t>
        </is>
      </c>
      <c r="I17" s="54" t="n">
        <v>4</v>
      </c>
      <c r="J17" s="54" t="inlineStr">
        <is>
          <t>Delivered</t>
        </is>
      </c>
      <c r="K17" s="54" t="inlineStr">
        <is>
          <t>Fictional delivery record linked to INV-1016.</t>
        </is>
      </c>
    </row>
    <row r="18" ht="15" customHeight="1" s="45">
      <c r="A18" s="54" t="inlineStr">
        <is>
          <t>SD-016</t>
        </is>
      </c>
      <c r="B18" s="85" t="n">
        <v>46322</v>
      </c>
      <c r="C18" s="54" t="inlineStr">
        <is>
          <t>P10</t>
        </is>
      </c>
      <c r="D18" s="54">
        <f>IFERROR(INDEX(Participants!$B$4:$B$15,MATCH(C18,Participants!$A$4:$A$15,0)),"NOT FOUND")</f>
        <v/>
      </c>
      <c r="E18" s="54" t="inlineStr">
        <is>
          <t>FX-SC-01</t>
        </is>
      </c>
      <c r="F18" s="54" t="inlineStr">
        <is>
          <t>S04</t>
        </is>
      </c>
      <c r="G18" s="54" t="inlineStr">
        <is>
          <t>09:00</t>
        </is>
      </c>
      <c r="H18" s="54" t="inlineStr">
        <is>
          <t>10:30</t>
        </is>
      </c>
      <c r="I18" s="54" t="n">
        <v>1.5</v>
      </c>
      <c r="J18" s="54" t="inlineStr">
        <is>
          <t>Delivered</t>
        </is>
      </c>
      <c r="K18" s="54" t="inlineStr">
        <is>
          <t>Fictional delivery record linked to INV-1018.</t>
        </is>
      </c>
    </row>
    <row r="19" ht="15" customHeight="1" s="45">
      <c r="A19" s="54" t="inlineStr">
        <is>
          <t>SD-017</t>
        </is>
      </c>
      <c r="B19" s="85" t="n">
        <v>46324</v>
      </c>
      <c r="C19" s="54" t="inlineStr">
        <is>
          <t>P05</t>
        </is>
      </c>
      <c r="D19" s="54">
        <f>IFERROR(INDEX(Participants!$B$4:$B$15,MATCH(C19,Participants!$A$4:$A$15,0)),"NOT FOUND")</f>
        <v/>
      </c>
      <c r="E19" s="54" t="inlineStr">
        <is>
          <t>FX-CA-WD</t>
        </is>
      </c>
      <c r="F19" s="54" t="inlineStr">
        <is>
          <t>W11</t>
        </is>
      </c>
      <c r="G19" s="54" t="inlineStr">
        <is>
          <t>09:00</t>
        </is>
      </c>
      <c r="H19" s="54" t="inlineStr">
        <is>
          <t>12:00</t>
        </is>
      </c>
      <c r="I19" s="54" t="n">
        <v>3</v>
      </c>
      <c r="J19" s="54" t="inlineStr">
        <is>
          <t>Delivered</t>
        </is>
      </c>
      <c r="K19" s="54" t="inlineStr">
        <is>
          <t>Fictional delivery record linked to INV-1020.</t>
        </is>
      </c>
    </row>
  </sheetData>
  <autoFilter ref="A3:K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1" customWidth="1" style="44" min="1" max="1"/>
    <col width="42" customWidth="1" style="44" min="2" max="2"/>
  </cols>
  <sheetData>
    <row r="1" ht="17.25" customHeight="1" s="45">
      <c r="A1" s="58" t="inlineStr">
        <is>
          <t>M1 — Fictional Wattlebird VA Job Post</t>
        </is>
      </c>
    </row>
    <row r="2" ht="15" customHeight="1" s="45">
      <c r="A2" s="84" t="inlineStr">
        <is>
          <t>FICTIONAL JOB POST — training use only.</t>
        </is>
      </c>
    </row>
    <row r="3" ht="15" customHeight="1" s="45">
      <c r="A3" s="78" t="inlineStr">
        <is>
          <t>Field</t>
        </is>
      </c>
      <c r="B3" s="78" t="inlineStr">
        <is>
          <t>Detail</t>
        </is>
      </c>
    </row>
    <row r="4" ht="27.75" customHeight="1" s="45">
      <c r="A4" s="54" t="inlineStr">
        <is>
          <t>Role</t>
        </is>
      </c>
      <c r="B4" s="54" t="inlineStr">
        <is>
          <t>Part-time Virtual Assistant — Wattlebird Support Services</t>
        </is>
      </c>
    </row>
    <row r="5" ht="15" customHeight="1" s="45">
      <c r="A5" s="54" t="inlineStr">
        <is>
          <t>Reports to</t>
        </is>
      </c>
      <c r="B5" s="54" t="inlineStr">
        <is>
          <t>Rhonda Blake, Operations Manager</t>
        </is>
      </c>
    </row>
    <row r="6" ht="41.25" customHeight="1" s="45">
      <c r="A6" s="54" t="inlineStr">
        <is>
          <t>Core tasks</t>
        </is>
      </c>
      <c r="B6" s="54" t="inlineStr">
        <is>
          <t>Inbox administration, roster checks, document tracking, invoice pre-checks, follow-up and handover</t>
        </is>
      </c>
    </row>
    <row r="7" ht="27.75" customHeight="1" s="45">
      <c r="A7" s="54" t="inlineStr">
        <is>
          <t>Systems</t>
        </is>
      </c>
      <c r="B7" s="54" t="inlineStr">
        <is>
          <t>Google Workspace, Wattlebird practice spreadsheets, free task board/chat</t>
        </is>
      </c>
    </row>
    <row r="8" ht="27.75" customHeight="1" s="45">
      <c r="A8" s="54" t="inlineStr">
        <is>
          <t>Communication</t>
        </is>
      </c>
      <c r="B8" s="54" t="inlineStr">
        <is>
          <t>Clear, factual, timely; acknowledge receipt and give the next expected update when appropriate</t>
        </is>
      </c>
    </row>
    <row r="9" ht="41.25" customHeight="1" s="45">
      <c r="A9" s="54" t="inlineStr">
        <is>
          <t>Boundaries</t>
        </is>
      </c>
      <c r="B9" s="54" t="inlineStr">
        <is>
          <t>Do not make clinical, funding, legal, reportability, approval or worker-eligibility decisions</t>
        </is>
      </c>
    </row>
    <row r="10" ht="27.75" customHeight="1" s="45">
      <c r="A10" s="54" t="inlineStr">
        <is>
          <t>Security</t>
        </is>
      </c>
      <c r="B10" s="54" t="inlineStr">
        <is>
          <t>Use provider-authorized systems and follow provider security procedures</t>
        </is>
      </c>
    </row>
    <row r="11" ht="27.75" customHeight="1" s="45">
      <c r="A11" s="54" t="inlineStr">
        <is>
          <t>Practice note</t>
        </is>
      </c>
      <c r="B11" s="54" t="inlineStr">
        <is>
          <t>Applicants should describe simulated Wattlebird work honestly as fictional practice</t>
        </is>
      </c>
    </row>
  </sheetData>
  <autoFilter ref="A3:B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5" customWidth="1" style="44" min="2" max="2"/>
  </cols>
  <sheetData>
    <row r="1" ht="17.25" customHeight="1" s="45">
      <c r="A1" s="58" t="inlineStr">
        <is>
          <t>M1 — VA Profile Template</t>
        </is>
      </c>
    </row>
    <row r="2" ht="15" customHeight="1" s="45">
      <c r="A2" s="84" t="inlineStr">
        <is>
          <t>Learner template. Describe practice honestly.</t>
        </is>
      </c>
    </row>
    <row r="3" ht="27.75" customHeight="1" s="45">
      <c r="A3" s="78" t="inlineStr">
        <is>
          <t>Field</t>
        </is>
      </c>
      <c r="B3" s="78" t="inlineStr">
        <is>
          <t>Learner Entry</t>
        </is>
      </c>
    </row>
    <row r="4" ht="15" customHeight="1" s="45">
      <c r="A4" s="54" t="inlineStr">
        <is>
          <t>Role statement</t>
        </is>
      </c>
      <c r="B4" s="54" t="n"/>
    </row>
    <row r="5" ht="15" customHeight="1" s="45">
      <c r="A5" s="54" t="inlineStr">
        <is>
          <t>Relevant skills</t>
        </is>
      </c>
      <c r="B5" s="54" t="n"/>
    </row>
    <row r="6" ht="15" customHeight="1" s="45">
      <c r="A6" s="54" t="inlineStr">
        <is>
          <t>Wattlebird practice completed</t>
        </is>
      </c>
      <c r="B6" s="54" t="n"/>
    </row>
    <row r="7" ht="15" customHeight="1" s="45">
      <c r="A7" s="54" t="inlineStr">
        <is>
          <t>Systems practiced</t>
        </is>
      </c>
      <c r="B7" s="54" t="n"/>
    </row>
    <row r="8" ht="15" customHeight="1" s="45">
      <c r="A8" s="54" t="inlineStr">
        <is>
          <t>What I have not used professionally</t>
        </is>
      </c>
      <c r="B8" s="54" t="n"/>
    </row>
    <row r="9" ht="15" customHeight="1" s="45">
      <c r="A9" s="54" t="inlineStr">
        <is>
          <t>Availability</t>
        </is>
      </c>
      <c r="B9" s="54" t="n"/>
    </row>
    <row r="10" ht="15" customHeight="1" s="45">
      <c r="A10" s="54" t="inlineStr">
        <is>
          <t>Communication approach</t>
        </is>
      </c>
      <c r="B10" s="54" t="n"/>
    </row>
    <row r="11" ht="15" customHeight="1" s="45">
      <c r="A11" s="54" t="inlineStr">
        <is>
          <t>Portfolio evidence</t>
        </is>
      </c>
      <c r="B11" s="54" t="n"/>
    </row>
  </sheetData>
  <autoFilter ref="A3:B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8" customWidth="1" style="44" min="2" max="2"/>
    <col width="37" customWidth="1" style="44" min="3" max="3"/>
    <col width="17" customWidth="1" style="44" min="4" max="4"/>
  </cols>
  <sheetData>
    <row r="1" ht="17.25" customHeight="1" s="45">
      <c r="A1" s="58" t="inlineStr">
        <is>
          <t>M2 — Weak Message Drafts</t>
        </is>
      </c>
    </row>
    <row r="2" ht="15" customHeight="1" s="45">
      <c r="A2" s="84" t="inlineStr">
        <is>
          <t>FICTIONAL drafts for rewriting practice.</t>
        </is>
      </c>
    </row>
    <row r="3" ht="27.75" customHeight="1" s="45">
      <c r="A3" s="78" t="inlineStr">
        <is>
          <t>Draft ID</t>
        </is>
      </c>
      <c r="B3" s="78" t="inlineStr">
        <is>
          <t>Context</t>
        </is>
      </c>
      <c r="C3" s="78" t="inlineStr">
        <is>
          <t>Weak Draft</t>
        </is>
      </c>
      <c r="D3" s="78" t="inlineStr">
        <is>
          <t>Learner Rewrite</t>
        </is>
      </c>
    </row>
    <row r="4" ht="15" customHeight="1" s="45">
      <c r="A4" s="54" t="inlineStr">
        <is>
          <t>WD-01</t>
        </is>
      </c>
      <c r="B4" s="54" t="inlineStr">
        <is>
          <t>Roster clash</t>
        </is>
      </c>
      <c r="C4" s="54" t="inlineStr">
        <is>
          <t>There is a problem with the roster.</t>
        </is>
      </c>
      <c r="D4" s="54" t="n"/>
    </row>
    <row r="5" ht="15" customHeight="1" s="45">
      <c r="A5" s="54" t="inlineStr">
        <is>
          <t>WD-02</t>
        </is>
      </c>
      <c r="B5" s="54" t="inlineStr">
        <is>
          <t>Invoice question</t>
        </is>
      </c>
      <c r="C5" s="54" t="inlineStr">
        <is>
          <t>Please check this.</t>
        </is>
      </c>
      <c r="D5" s="54" t="n"/>
    </row>
    <row r="6" ht="15" customHeight="1" s="45">
      <c r="A6" s="54" t="inlineStr">
        <is>
          <t>WD-03</t>
        </is>
      </c>
      <c r="B6" s="54" t="inlineStr">
        <is>
          <t>Follow-up</t>
        </is>
      </c>
      <c r="C6" s="54" t="inlineStr">
        <is>
          <t>Any update?</t>
        </is>
      </c>
      <c r="D6" s="54" t="n"/>
    </row>
    <row r="7" ht="15" customHeight="1" s="45">
      <c r="A7" s="44" t="inlineStr">
        <is>
          <t>WD-04</t>
        </is>
      </c>
      <c r="B7" s="44" t="inlineStr">
        <is>
          <t>Sent Mon 2 Nov, 11:45 am (Melbourne) to Jamal Ortiz; attached InvoiceCheck_v1 instead of v2.</t>
        </is>
      </c>
      <c r="C7" s="44" t="inlineStr">
        <is>
          <t>I accidentally attached an outdated fictional invoice-check file to an internal email.</t>
        </is>
      </c>
    </row>
  </sheetData>
  <autoFilter ref="A3:D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1" customWidth="1" style="44" min="2" max="2"/>
    <col width="21" customWidth="1" style="44" min="3" max="3"/>
    <col width="17" customWidth="1" style="44" min="4" max="4"/>
  </cols>
  <sheetData>
    <row r="1" ht="17.25" customHeight="1" s="45">
      <c r="A1" s="58" t="inlineStr">
        <is>
          <t>M2 — Incomplete Workplace Questions</t>
        </is>
      </c>
    </row>
    <row r="2" ht="15" customHeight="1" s="45">
      <c r="A2" s="84" t="inlineStr">
        <is>
          <t>FICTIONAL prompts for turning vague questions into actionable requests.</t>
        </is>
      </c>
    </row>
    <row r="3" ht="27.75" customHeight="1" s="45">
      <c r="A3" s="78" t="inlineStr">
        <is>
          <t>Question ID</t>
        </is>
      </c>
      <c r="B3" s="78" t="inlineStr">
        <is>
          <t>Context</t>
        </is>
      </c>
      <c r="C3" s="78" t="inlineStr">
        <is>
          <t>Incomplete Question</t>
        </is>
      </c>
      <c r="D3" s="78" t="inlineStr">
        <is>
          <t>Learner Rewrite</t>
        </is>
      </c>
    </row>
    <row r="4" ht="15" customHeight="1" s="45">
      <c r="A4" s="54" t="inlineStr">
        <is>
          <t>IQ-01</t>
        </is>
      </c>
      <c r="B4" s="54" t="inlineStr">
        <is>
          <t>Roster</t>
        </is>
      </c>
      <c r="C4" s="54" t="inlineStr">
        <is>
          <t>Can someone cover?</t>
        </is>
      </c>
      <c r="D4" s="54" t="n"/>
    </row>
    <row r="5" ht="15" customHeight="1" s="45">
      <c r="A5" s="54" t="inlineStr">
        <is>
          <t>IQ-02</t>
        </is>
      </c>
      <c r="B5" s="54" t="inlineStr">
        <is>
          <t>Invoice</t>
        </is>
      </c>
      <c r="C5" s="54" t="inlineStr">
        <is>
          <t>Is this okay?</t>
        </is>
      </c>
      <c r="D5" s="54" t="n"/>
    </row>
    <row r="6" ht="15" customHeight="1" s="45">
      <c r="A6" s="54" t="inlineStr">
        <is>
          <t>IQ-03</t>
        </is>
      </c>
      <c r="B6" s="54" t="inlineStr">
        <is>
          <t>Agreement</t>
        </is>
      </c>
      <c r="C6" s="54" t="inlineStr">
        <is>
          <t>What about Lucia?</t>
        </is>
      </c>
      <c r="D6" s="54" t="n"/>
    </row>
    <row r="7" ht="15" customHeight="1" s="45">
      <c r="A7" s="54" t="inlineStr">
        <is>
          <t>IQ-04</t>
        </is>
      </c>
      <c r="B7" s="54" t="inlineStr">
        <is>
          <t>Privacy</t>
        </is>
      </c>
      <c r="C7" s="54" t="inlineStr">
        <is>
          <t>What should I do?</t>
        </is>
      </c>
      <c r="D7" s="54" t="n"/>
    </row>
    <row r="8" ht="15" customHeight="1" s="45">
      <c r="A8" s="54" t="inlineStr">
        <is>
          <t>IQ-05</t>
        </is>
      </c>
      <c r="B8" s="54" t="inlineStr">
        <is>
          <t>Funding</t>
        </is>
      </c>
      <c r="C8" s="54" t="inlineStr">
        <is>
          <t>Can we book it?</t>
        </is>
      </c>
      <c r="D8" s="54" t="n"/>
    </row>
  </sheetData>
  <autoFilter ref="A3:D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9" customWidth="1" style="44" min="2" max="2"/>
    <col width="22" customWidth="1" style="44" min="3" max="3"/>
    <col width="10" customWidth="1" style="44" min="4" max="4"/>
  </cols>
  <sheetData>
    <row r="1" ht="17.25" customHeight="1" s="45">
      <c r="A1" s="58" t="inlineStr">
        <is>
          <t>M3 — Messy File Naming Practice</t>
        </is>
      </c>
    </row>
    <row r="2" ht="15" customHeight="1" s="45">
      <c r="A2" s="84" t="inlineStr">
        <is>
          <t>FICTIONAL filenames. Learner proposes a consistent naming pattern.</t>
        </is>
      </c>
    </row>
    <row r="3" ht="27.75" customHeight="1" s="45">
      <c r="A3" s="78" t="inlineStr">
        <is>
          <t>File ID</t>
        </is>
      </c>
      <c r="B3" s="78" t="inlineStr">
        <is>
          <t>Current Filename</t>
        </is>
      </c>
      <c r="C3" s="78" t="inlineStr">
        <is>
          <t>Learner New Filename</t>
        </is>
      </c>
      <c r="D3" s="78" t="inlineStr">
        <is>
          <t>Reason</t>
        </is>
      </c>
    </row>
    <row r="4" ht="15" customHeight="1" s="45">
      <c r="A4" s="54" t="inlineStr">
        <is>
          <t>MF-01</t>
        </is>
      </c>
      <c r="B4" s="54" t="inlineStr">
        <is>
          <t>final-final roster.xlsx</t>
        </is>
      </c>
      <c r="C4" s="54" t="n"/>
      <c r="D4" s="54" t="n"/>
    </row>
    <row r="5" ht="15" customHeight="1" s="45">
      <c r="A5" s="54" t="inlineStr">
        <is>
          <t>MF-02</t>
        </is>
      </c>
      <c r="B5" s="54" t="inlineStr">
        <is>
          <t>Invoice new 2.xlsx</t>
        </is>
      </c>
      <c r="C5" s="54" t="n"/>
      <c r="D5" s="54" t="n"/>
    </row>
    <row r="6" ht="15" customHeight="1" s="45">
      <c r="A6" s="54" t="inlineStr">
        <is>
          <t>MF-03</t>
        </is>
      </c>
      <c r="B6" s="54" t="inlineStr">
        <is>
          <t>Grace agreement latest.docx</t>
        </is>
      </c>
      <c r="C6" s="54" t="n"/>
      <c r="D6" s="54" t="n"/>
    </row>
    <row r="7" ht="15" customHeight="1" s="45">
      <c r="A7" s="54" t="inlineStr">
        <is>
          <t>MF-04</t>
        </is>
      </c>
      <c r="B7" s="54" t="inlineStr">
        <is>
          <t>handover.docx</t>
        </is>
      </c>
      <c r="C7" s="54" t="n"/>
      <c r="D7" s="54" t="n"/>
    </row>
    <row r="8" ht="15" customHeight="1" s="45">
      <c r="A8" s="54" t="inlineStr">
        <is>
          <t>MF-05</t>
        </is>
      </c>
      <c r="B8" s="54" t="inlineStr">
        <is>
          <t>source check updated.xlsx</t>
        </is>
      </c>
      <c r="C8" s="54" t="n"/>
      <c r="D8" s="54" t="n"/>
    </row>
  </sheetData>
  <autoFilter ref="A3:D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7" customWidth="1" style="44" min="2" max="2"/>
    <col width="42" customWidth="1" style="44" min="3" max="3"/>
    <col width="27" customWidth="1" style="44" min="4" max="4"/>
  </cols>
  <sheetData>
    <row r="1" ht="17.25" customHeight="1" s="45">
      <c r="A1" s="58" t="inlineStr">
        <is>
          <t>M4 — Date and Format Trap</t>
        </is>
      </c>
    </row>
    <row r="2" ht="15" customHeight="1" s="45">
      <c r="A2" s="84" t="inlineStr">
        <is>
          <t>FICTIONAL practice examples. Use the stated Wattlebird format and verify ambiguous dates.</t>
        </is>
      </c>
    </row>
    <row r="3" ht="27.75" customHeight="1" s="45">
      <c r="A3" s="78" t="inlineStr">
        <is>
          <t>Item ID</t>
        </is>
      </c>
      <c r="B3" s="78" t="inlineStr">
        <is>
          <t>Displayed Value</t>
        </is>
      </c>
      <c r="C3" s="78" t="inlineStr">
        <is>
          <t>Issue to Check</t>
        </is>
      </c>
      <c r="D3" s="78" t="inlineStr">
        <is>
          <t>Learner Correction / Note</t>
        </is>
      </c>
    </row>
    <row r="4" ht="27.75" customHeight="1" s="45">
      <c r="A4" s="54" t="inlineStr">
        <is>
          <t>DF-01</t>
        </is>
      </c>
      <c r="B4" s="54" t="inlineStr">
        <is>
          <t>04/11/2026</t>
        </is>
      </c>
      <c r="C4" s="54" t="inlineStr">
        <is>
          <t>Could mean 4 Nov or 11 Apr depending on convention.</t>
        </is>
      </c>
      <c r="D4" s="54" t="n"/>
    </row>
    <row r="5" ht="27.75" customHeight="1" s="45">
      <c r="A5" s="54" t="inlineStr">
        <is>
          <t>DF-02</t>
        </is>
      </c>
      <c r="B5" s="54" t="inlineStr">
        <is>
          <t>11/04/2026</t>
        </is>
      </c>
      <c r="C5" s="54" t="inlineStr">
        <is>
          <t>Could mean 11 Apr or 4 Nov depending on convention.</t>
        </is>
      </c>
      <c r="D5" s="54" t="n"/>
    </row>
    <row r="6" ht="27.75" customHeight="1" s="45">
      <c r="A6" s="54" t="inlineStr">
        <is>
          <t>DF-03</t>
        </is>
      </c>
      <c r="B6" s="54" t="inlineStr">
        <is>
          <t>AUD 205</t>
        </is>
      </c>
      <c r="C6" s="54" t="inlineStr">
        <is>
          <t>Confirm this is fictional currency formatting, not a real price claim.</t>
        </is>
      </c>
      <c r="D6" s="54" t="n"/>
    </row>
    <row r="7" ht="27.75" customHeight="1" s="45">
      <c r="A7" s="54" t="inlineStr">
        <is>
          <t>DF-04</t>
        </is>
      </c>
      <c r="B7" s="54" t="inlineStr">
        <is>
          <t>2026-11-03</t>
        </is>
      </c>
      <c r="C7" s="54" t="inlineStr">
        <is>
          <t>ISO-style date; identify the corresponding local day.</t>
        </is>
      </c>
      <c r="D7" s="54" t="n"/>
    </row>
  </sheetData>
  <autoFilter ref="A3:D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5" customWidth="1" style="44" min="2" max="2"/>
  </cols>
  <sheetData>
    <row r="1" ht="17.25" customHeight="1" s="45">
      <c r="A1" s="58" t="inlineStr">
        <is>
          <t>M4 — Handover Note Template</t>
        </is>
      </c>
    </row>
    <row r="2" ht="15" customHeight="1" s="45">
      <c r="A2" s="84" t="inlineStr">
        <is>
          <t>Learner template. State facts, owner, next action, follow-up and closure.</t>
        </is>
      </c>
    </row>
    <row r="3" ht="27.75" customHeight="1" s="45">
      <c r="A3" s="78" t="inlineStr">
        <is>
          <t>Field</t>
        </is>
      </c>
      <c r="B3" s="78" t="inlineStr">
        <is>
          <t>Learner Entry</t>
        </is>
      </c>
    </row>
    <row r="4" ht="15" customHeight="1" s="45">
      <c r="A4" s="54" t="inlineStr">
        <is>
          <t>Date/time</t>
        </is>
      </c>
      <c r="B4" s="54" t="n"/>
    </row>
    <row r="5" ht="15" customHeight="1" s="45">
      <c r="A5" s="54" t="inlineStr">
        <is>
          <t>Task / issue</t>
        </is>
      </c>
      <c r="B5" s="54" t="n"/>
    </row>
    <row r="6" ht="15" customHeight="1" s="45">
      <c r="A6" s="54" t="inlineStr">
        <is>
          <t>What happened</t>
        </is>
      </c>
      <c r="B6" s="54" t="n"/>
    </row>
    <row r="7" ht="15" customHeight="1" s="45">
      <c r="A7" s="54" t="inlineStr">
        <is>
          <t>Current status</t>
        </is>
      </c>
      <c r="B7" s="54" t="n"/>
    </row>
    <row r="8" ht="15" customHeight="1" s="45">
      <c r="A8" s="54" t="inlineStr">
        <is>
          <t>Owner</t>
        </is>
      </c>
      <c r="B8" s="54" t="n"/>
    </row>
    <row r="9" ht="15" customHeight="1" s="45">
      <c r="A9" s="54" t="inlineStr">
        <is>
          <t>Next action</t>
        </is>
      </c>
      <c r="B9" s="54" t="n"/>
    </row>
    <row r="10" ht="15" customHeight="1" s="45">
      <c r="A10" s="54" t="inlineStr">
        <is>
          <t>Channel</t>
        </is>
      </c>
      <c r="B10" s="54" t="n"/>
    </row>
    <row r="11" ht="15" customHeight="1" s="45">
      <c r="A11" s="54" t="inlineStr">
        <is>
          <t>Follow-up trigger</t>
        </is>
      </c>
      <c r="B11" s="54" t="n"/>
    </row>
    <row r="12" ht="15" customHeight="1" s="45">
      <c r="A12" s="54" t="inlineStr">
        <is>
          <t>Closure condition</t>
        </is>
      </c>
      <c r="B12" s="54" t="n"/>
    </row>
    <row r="13" ht="15" customHeight="1" s="45">
      <c r="A13" s="54" t="inlineStr">
        <is>
          <t>Requester/affected party informed?</t>
        </is>
      </c>
      <c r="B13" s="54" t="n"/>
    </row>
  </sheetData>
  <autoFilter ref="A3:B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20" customWidth="1" style="44" min="3" max="3"/>
    <col width="10" customWidth="1" style="44" min="4" max="4"/>
  </cols>
  <sheetData>
    <row r="1" ht="17.25" customHeight="1" s="45">
      <c r="A1" s="58" t="inlineStr">
        <is>
          <t>M5 — Organization and Role Matching</t>
        </is>
      </c>
    </row>
    <row r="2" ht="15" customHeight="1" s="45">
      <c r="A2" s="84" t="inlineStr">
        <is>
          <t>FICTIONAL situations. Match each to the most appropriate role/owner.</t>
        </is>
      </c>
    </row>
    <row r="3" ht="27.75" customHeight="1" s="45">
      <c r="A3" s="78" t="inlineStr">
        <is>
          <t>Situation ID</t>
        </is>
      </c>
      <c r="B3" s="78" t="inlineStr">
        <is>
          <t>Situation</t>
        </is>
      </c>
      <c r="C3" s="78" t="inlineStr">
        <is>
          <t>Learner Role/Owner</t>
        </is>
      </c>
      <c r="D3" s="78" t="inlineStr">
        <is>
          <t>Reason</t>
        </is>
      </c>
    </row>
    <row r="4" ht="15" customHeight="1" s="45">
      <c r="A4" s="54" t="inlineStr">
        <is>
          <t>SIT-01</t>
        </is>
      </c>
      <c r="B4" s="54" t="inlineStr">
        <is>
          <t>Participant asks what NDIS funding covers.</t>
        </is>
      </c>
      <c r="C4" s="54" t="n"/>
      <c r="D4" s="54" t="n"/>
    </row>
    <row r="5" ht="15" customHeight="1" s="45">
      <c r="A5" s="54" t="inlineStr">
        <is>
          <t>SIT-02</t>
        </is>
      </c>
      <c r="B5" s="54" t="inlineStr">
        <is>
          <t>Invoice batch needs administrative pre-check.</t>
        </is>
      </c>
      <c r="C5" s="54" t="n"/>
      <c r="D5" s="54" t="n"/>
    </row>
    <row r="6" ht="15" customHeight="1" s="45">
      <c r="A6" s="54" t="inlineStr">
        <is>
          <t>SIT-03</t>
        </is>
      </c>
      <c r="B6" s="54" t="inlineStr">
        <is>
          <t>Participant asks for copies of records.</t>
        </is>
      </c>
      <c r="C6" s="54" t="n"/>
      <c r="D6" s="54" t="n"/>
    </row>
    <row r="7" ht="15" customHeight="1" s="45">
      <c r="A7" s="54" t="inlineStr">
        <is>
          <t>SIT-04</t>
        </is>
      </c>
      <c r="B7" s="54" t="inlineStr">
        <is>
          <t>Worker reports a participant injury.</t>
        </is>
      </c>
      <c r="C7" s="54" t="n"/>
      <c r="D7" s="54" t="n"/>
    </row>
    <row r="8" ht="15" customHeight="1" s="45">
      <c r="A8" s="54" t="inlineStr">
        <is>
          <t>SIT-05</t>
        </is>
      </c>
      <c r="B8" s="54" t="inlineStr">
        <is>
          <t>Agreement draft needs approval.</t>
        </is>
      </c>
      <c r="C8" s="54" t="n"/>
      <c r="D8" s="54" t="n"/>
    </row>
  </sheetData>
  <autoFilter ref="A3:D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2" customWidth="1" style="44" min="2" max="2"/>
    <col width="42" customWidth="1" style="44" min="3" max="3"/>
    <col width="18" customWidth="1" style="44" min="4" max="4"/>
  </cols>
  <sheetData>
    <row r="1" ht="17.25" customHeight="1" s="45">
      <c r="A1" s="58" t="inlineStr">
        <is>
          <t>M5 — Safe Question Practice</t>
        </is>
      </c>
    </row>
    <row r="2" ht="15" customHeight="1" s="45">
      <c r="A2" s="84" t="inlineStr">
        <is>
          <t>FICTIONAL prompts. Draft a safe acknowledgment, clarification and handoff.</t>
        </is>
      </c>
    </row>
    <row r="3" ht="27.75" customHeight="1" s="45">
      <c r="A3" s="78" t="inlineStr">
        <is>
          <t>Prompt ID</t>
        </is>
      </c>
      <c r="B3" s="78" t="inlineStr">
        <is>
          <t>Question Type</t>
        </is>
      </c>
      <c r="C3" s="78" t="inlineStr">
        <is>
          <t>Prompt</t>
        </is>
      </c>
      <c r="D3" s="78" t="inlineStr">
        <is>
          <t>Learner Response</t>
        </is>
      </c>
    </row>
    <row r="4" ht="15" customHeight="1" s="45">
      <c r="A4" s="54" t="inlineStr">
        <is>
          <t>SQ-01</t>
        </is>
      </c>
      <c r="B4" s="54" t="inlineStr">
        <is>
          <t>Funding</t>
        </is>
      </c>
      <c r="C4" s="54" t="inlineStr">
        <is>
          <t>Does NDIS fund this new support?</t>
        </is>
      </c>
      <c r="D4" s="54" t="n"/>
    </row>
    <row r="5" ht="27.75" customHeight="1" s="45">
      <c r="A5" s="54" t="inlineStr">
        <is>
          <t>SQ-02</t>
        </is>
      </c>
      <c r="B5" s="54" t="inlineStr">
        <is>
          <t>Clinical suitability</t>
        </is>
      </c>
      <c r="C5" s="54" t="inlineStr">
        <is>
          <t>Would this support be clinically suitable for the participant?</t>
        </is>
      </c>
      <c r="D5" s="54" t="n"/>
    </row>
    <row r="6" ht="15" customHeight="1" s="45">
      <c r="A6" s="54" t="inlineStr">
        <is>
          <t>SQ-03</t>
        </is>
      </c>
      <c r="B6" s="54" t="inlineStr">
        <is>
          <t>Eligibility</t>
        </is>
      </c>
      <c r="C6" s="54" t="inlineStr">
        <is>
          <t>Is this participant eligible for this support?</t>
        </is>
      </c>
      <c r="D6" s="54" t="n"/>
    </row>
  </sheetData>
  <autoFilter ref="A3:D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21" customWidth="1" style="44" min="2" max="2"/>
    <col width="17" customWidth="1" style="44" min="3" max="3"/>
    <col width="14" customWidth="1" style="44" min="4" max="4"/>
    <col width="26" customWidth="1" style="44" min="5" max="5"/>
    <col width="10" customWidth="1" style="44" min="6" max="6"/>
    <col width="33" customWidth="1" style="44" min="7" max="7"/>
    <col width="10" customWidth="1" style="44" min="8" max="8"/>
    <col width="16" customWidth="1" style="44" min="9" max="9"/>
  </cols>
  <sheetData>
    <row r="1" ht="17.25" customHeight="1" s="45">
      <c r="A1" s="58" t="inlineStr">
        <is>
          <t>M8 — Learner Pricing Check Log</t>
        </is>
      </c>
    </row>
    <row r="2" ht="15" customHeight="1" s="45">
      <c r="A2" s="84" t="inlineStr">
        <is>
          <t>Use current official sources for real-world information. Wattlebird prices are fictional.</t>
        </is>
      </c>
    </row>
    <row r="3" ht="27.75" customHeight="1" s="45">
      <c r="A3" s="78" t="inlineStr">
        <is>
          <t>Check ID</t>
        </is>
      </c>
      <c r="B3" s="78" t="inlineStr">
        <is>
          <t>Support Item / Code</t>
        </is>
      </c>
      <c r="C3" s="78" t="inlineStr">
        <is>
          <t>Official Source</t>
        </is>
      </c>
      <c r="D3" s="78" t="inlineStr">
        <is>
          <t>Date Checked</t>
        </is>
      </c>
      <c r="E3" s="78" t="inlineStr">
        <is>
          <t>Version / Effective Date</t>
        </is>
      </c>
      <c r="F3" s="78" t="inlineStr">
        <is>
          <t>Unit</t>
        </is>
      </c>
      <c r="G3" s="78" t="inlineStr">
        <is>
          <t>Applicability / Management Type</t>
        </is>
      </c>
      <c r="H3" s="78" t="inlineStr">
        <is>
          <t>Finding</t>
        </is>
      </c>
      <c r="I3" s="78" t="inlineStr">
        <is>
          <t>Action / Owner</t>
        </is>
      </c>
    </row>
  </sheetData>
  <autoFilter ref="A3:I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3"/>
    <col width="18" customWidth="1" style="44" min="4" max="4"/>
    <col width="24" customWidth="1" style="44" min="5" max="5"/>
    <col width="23" customWidth="1" style="44" min="6" max="6"/>
    <col width="20" customWidth="1" style="44" min="7" max="7"/>
    <col width="11" customWidth="1" style="44" min="8" max="8"/>
    <col width="10" customWidth="1" style="44" min="9" max="9"/>
  </cols>
  <sheetData>
    <row r="1" ht="17.25" customHeight="1" s="45">
      <c r="A1" s="58" t="inlineStr">
        <is>
          <t>M9 — Extended Roster Practice</t>
        </is>
      </c>
    </row>
    <row r="2" ht="15" customHeight="1" s="45">
      <c r="A2" s="84" t="inlineStr">
        <is>
          <t>FICTIONAL cases. Propose options; the authorized owner decides.</t>
        </is>
      </c>
    </row>
    <row r="3" ht="27.75" customHeight="1" s="45">
      <c r="A3" s="78" t="inlineStr">
        <is>
          <t>Case ID</t>
        </is>
      </c>
      <c r="B3" s="78" t="inlineStr">
        <is>
          <t>Scenario</t>
        </is>
      </c>
      <c r="C3" s="78" t="inlineStr">
        <is>
          <t>Evidence</t>
        </is>
      </c>
      <c r="D3" s="78" t="inlineStr">
        <is>
          <t>Learner Priority</t>
        </is>
      </c>
      <c r="E3" s="78" t="inlineStr">
        <is>
          <t>Learner Classification</t>
        </is>
      </c>
      <c r="F3" s="78" t="inlineStr">
        <is>
          <t>Options / Next Action</t>
        </is>
      </c>
      <c r="G3" s="78" t="inlineStr">
        <is>
          <t>Owner</t>
        </is>
      </c>
      <c r="H3" s="78" t="inlineStr">
        <is>
          <t>Follow-Up</t>
        </is>
      </c>
      <c r="I3" s="78" t="inlineStr">
        <is>
          <t>Closure</t>
        </is>
      </c>
    </row>
    <row r="4" ht="27.75" customHeight="1" s="45">
      <c r="A4" s="54" t="inlineStr">
        <is>
          <t>M9-X1</t>
        </is>
      </c>
      <c r="B4" s="54" t="inlineStr">
        <is>
          <t>Approved leave conflicts with a scheduled shift</t>
        </is>
      </c>
      <c r="C4" s="54" t="inlineStr">
        <is>
          <t>W05 unavailable 4–5 Nov; BK-103 shows a 4 Nov booking.</t>
        </is>
      </c>
      <c r="D4" s="54" t="n"/>
      <c r="E4" s="54" t="n"/>
      <c r="F4" s="54" t="n"/>
      <c r="G4" s="54" t="inlineStr">
        <is>
          <t>Operations manager</t>
        </is>
      </c>
      <c r="H4" s="54" t="n"/>
      <c r="I4" s="54" t="n"/>
    </row>
    <row r="5" ht="27.75" customHeight="1" s="45">
      <c r="A5" s="54" t="inlineStr">
        <is>
          <t>M9-X2</t>
        </is>
      </c>
      <c r="B5" s="54" t="inlineStr">
        <is>
          <t>Shift is unfilled</t>
        </is>
      </c>
      <c r="C5" s="54" t="inlineStr">
        <is>
          <t>R12 has no confirmed worker. Suggest two feasible options.</t>
        </is>
      </c>
      <c r="D5" s="54" t="n"/>
      <c r="E5" s="54" t="n"/>
      <c r="F5" s="54" t="n"/>
      <c r="G5" s="54" t="inlineStr">
        <is>
          <t>Operations manager</t>
        </is>
      </c>
      <c r="H5" s="54" t="n"/>
      <c r="I5" s="54" t="n"/>
    </row>
    <row r="6" ht="27.75" customHeight="1" s="45">
      <c r="A6" s="54" t="inlineStr">
        <is>
          <t>M9-X3</t>
        </is>
      </c>
      <c r="B6" s="54" t="inlineStr">
        <is>
          <t>Timezone label error</t>
        </is>
      </c>
      <c r="C6" s="54" t="inlineStr">
        <is>
          <t>Gold Coast booking is entered with AEDT instead of AEST.</t>
        </is>
      </c>
      <c r="D6" s="54" t="n"/>
      <c r="E6" s="54" t="n"/>
      <c r="F6" s="54" t="n"/>
      <c r="G6" s="54" t="inlineStr">
        <is>
          <t>Operations manager</t>
        </is>
      </c>
      <c r="H6" s="54" t="n"/>
      <c r="I6" s="54" t="n"/>
    </row>
  </sheetData>
  <autoFilter ref="A3:I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6" customWidth="1" style="44" min="3" max="4"/>
    <col width="11" customWidth="1" style="44" min="5" max="5"/>
  </cols>
  <sheetData>
    <row r="1" ht="17.25" customHeight="1" s="45">
      <c r="A1" s="58" t="inlineStr">
        <is>
          <t>M12 — Provider-Policy Security Practice</t>
        </is>
      </c>
    </row>
    <row r="2" ht="15" customHeight="1" s="45">
      <c r="A2" s="84" t="inlineStr">
        <is>
          <t>FICTIONAL. Follow Wattlebird/provider policy; do not invent universal technical rules.</t>
        </is>
      </c>
    </row>
    <row r="3" ht="27.75" customHeight="1" s="45">
      <c r="A3" s="78" t="inlineStr">
        <is>
          <t>Case ID</t>
        </is>
      </c>
      <c r="B3" s="78" t="inlineStr">
        <is>
          <t>Scenario</t>
        </is>
      </c>
      <c r="C3" s="78" t="inlineStr">
        <is>
          <t>Learner Action</t>
        </is>
      </c>
      <c r="D3" s="78" t="inlineStr">
        <is>
          <t>Classification</t>
        </is>
      </c>
      <c r="E3" s="78" t="inlineStr">
        <is>
          <t>Follow-Up</t>
        </is>
      </c>
    </row>
    <row r="4" ht="27.75" customHeight="1" s="45">
      <c r="A4" s="54" t="inlineStr">
        <is>
          <t>SP-01</t>
        </is>
      </c>
      <c r="B4" s="54" t="inlineStr">
        <is>
          <t>A VA is asked to work from public Wi-Fi with participant information.</t>
        </is>
      </c>
      <c r="C4" s="54" t="n"/>
      <c r="D4" s="54" t="n"/>
      <c r="E4" s="54" t="n"/>
    </row>
    <row r="5" ht="27.75" customHeight="1" s="45">
      <c r="A5" s="54" t="inlineStr">
        <is>
          <t>SP-02</t>
        </is>
      </c>
      <c r="B5" s="54" t="inlineStr">
        <is>
          <t>A family computer is used for provider work and security expectations are unclear.</t>
        </is>
      </c>
      <c r="C5" s="54" t="n"/>
      <c r="D5" s="54" t="n"/>
      <c r="E5" s="54" t="n"/>
    </row>
    <row r="6" ht="27.75" customHeight="1" s="45">
      <c r="A6" s="54" t="inlineStr">
        <is>
          <t>SP-03</t>
        </is>
      </c>
      <c r="B6" s="54" t="inlineStr">
        <is>
          <t>A staff member asks you to forward participant data to a personal email.</t>
        </is>
      </c>
      <c r="C6" s="54" t="n"/>
      <c r="D6" s="54" t="n"/>
      <c r="E6" s="54" t="n"/>
    </row>
  </sheetData>
  <autoFilter ref="A3:E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2"/>
    <col width="14" customWidth="1" style="44" min="3" max="3"/>
    <col width="42" customWidth="1" style="44" min="4" max="4"/>
  </cols>
  <sheetData>
    <row r="1" ht="17.25" customHeight="1" s="45">
      <c r="A1" s="58" t="inlineStr">
        <is>
          <t>M17 — Unseen Fictional Trial Pack</t>
        </is>
      </c>
    </row>
    <row r="2" ht="15" customHeight="1" s="45">
      <c r="A2" s="84" t="inlineStr">
        <is>
          <t>FICTIONAL practice. Do not treat this as employment experience.</t>
        </is>
      </c>
    </row>
    <row r="3" ht="27.75" customHeight="1" s="45">
      <c r="A3" s="78" t="inlineStr">
        <is>
          <t>Task ID</t>
        </is>
      </c>
      <c r="B3" s="78" t="inlineStr">
        <is>
          <t>Input</t>
        </is>
      </c>
      <c r="C3" s="78" t="inlineStr">
        <is>
          <t>Learner Work</t>
        </is>
      </c>
      <c r="D3" s="78" t="inlineStr">
        <is>
          <t>Expected Output</t>
        </is>
      </c>
    </row>
    <row r="4" ht="27.75" customHeight="1" s="45">
      <c r="A4" s="54" t="inlineStr">
        <is>
          <t>TR-01</t>
        </is>
      </c>
      <c r="B4" s="54" t="inlineStr">
        <is>
          <t>A roster shows one worker on two overlapping shifts.</t>
        </is>
      </c>
      <c r="C4" s="54" t="n"/>
      <c r="D4" s="54" t="inlineStr">
        <is>
          <t>Identify evidence, owner, options, handoff and follow-up.</t>
        </is>
      </c>
    </row>
    <row r="5" ht="27.75" customHeight="1" s="45">
      <c r="A5" s="54" t="inlineStr">
        <is>
          <t>TR-02</t>
        </is>
      </c>
      <c r="B5" s="54" t="inlineStr">
        <is>
          <t>An invoice uses an item code not found in the fictional price table.</t>
        </is>
      </c>
      <c r="C5" s="54" t="n"/>
      <c r="D5" s="54" t="inlineStr">
        <is>
          <t>Identify the exception, ask/route and closure condition.</t>
        </is>
      </c>
    </row>
    <row r="6" ht="27.75" customHeight="1" s="45">
      <c r="A6" s="54" t="inlineStr">
        <is>
          <t>TR-03</t>
        </is>
      </c>
      <c r="B6" s="54" t="inlineStr">
        <is>
          <t>A manager is unreachable during an urgent privacy incident.</t>
        </is>
      </c>
      <c r="C6" s="54" t="n"/>
      <c r="D6" s="54" t="inlineStr">
        <is>
          <t>Use the fictional urgent procedure and document the handoff.</t>
        </is>
      </c>
    </row>
  </sheetData>
  <autoFilter ref="A3:D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5" customWidth="1" style="44" min="2" max="2"/>
  </cols>
  <sheetData>
    <row r="1" ht="17.25" customHeight="1" s="45">
      <c r="A1" s="58" t="inlineStr">
        <is>
          <t>M17 — First 30 Days Plan</t>
        </is>
      </c>
    </row>
    <row r="2" ht="15" customHeight="1" s="45">
      <c r="A2" s="84" t="inlineStr">
        <is>
          <t>Learner template for an honest first-month onboarding conversation.</t>
        </is>
      </c>
    </row>
    <row r="3" ht="27.75" customHeight="1" s="45">
      <c r="A3" s="78" t="inlineStr">
        <is>
          <t>Question / Topic</t>
        </is>
      </c>
      <c r="B3" s="78" t="inlineStr">
        <is>
          <t>Learner Notes</t>
        </is>
      </c>
    </row>
    <row r="4" ht="15" customHeight="1" s="45">
      <c r="A4" s="54" t="inlineStr">
        <is>
          <t>Systems and access</t>
        </is>
      </c>
      <c r="B4" s="54" t="n"/>
    </row>
    <row r="5" ht="15" customHeight="1" s="45">
      <c r="A5" s="54" t="inlineStr">
        <is>
          <t>SOPs and provider procedures</t>
        </is>
      </c>
      <c r="B5" s="54" t="n"/>
    </row>
    <row r="6" ht="15" customHeight="1" s="45">
      <c r="A6" s="54" t="inlineStr">
        <is>
          <t>Escalation contacts and backup</t>
        </is>
      </c>
      <c r="B6" s="54" t="n"/>
    </row>
    <row r="7" ht="15" customHeight="1" s="45">
      <c r="A7" s="54" t="inlineStr">
        <is>
          <t>After-hours procedure</t>
        </is>
      </c>
      <c r="B7" s="54" t="n"/>
    </row>
    <row r="8" ht="15" customHeight="1" s="45">
      <c r="A8" s="54" t="inlineStr">
        <is>
          <t>Expected response hours</t>
        </is>
      </c>
      <c r="B8" s="54" t="n"/>
    </row>
    <row r="9" ht="15" customHeight="1" s="45">
      <c r="A9" s="54" t="inlineStr">
        <is>
          <t>Privacy/security requirements</t>
        </is>
      </c>
      <c r="B9" s="54" t="n"/>
    </row>
    <row r="10" ht="15" customHeight="1" s="45">
      <c r="A10" s="54" t="inlineStr">
        <is>
          <t>Current-source expectations</t>
        </is>
      </c>
      <c r="B10" s="54" t="n"/>
    </row>
    <row r="11" ht="15" customHeight="1" s="45">
      <c r="A11" s="54" t="inlineStr">
        <is>
          <t>Communication channels</t>
        </is>
      </c>
      <c r="B11" s="54" t="n"/>
    </row>
    <row r="12" ht="15" customHeight="1" s="45">
      <c r="A12" s="54" t="inlineStr">
        <is>
          <t>Review/check-in cadence</t>
        </is>
      </c>
      <c r="B12" s="54" t="n"/>
    </row>
    <row r="13" ht="15" customHeight="1" s="45">
      <c r="A13" s="54" t="inlineStr">
        <is>
          <t>Training gaps</t>
        </is>
      </c>
      <c r="B13" s="54" t="n"/>
    </row>
  </sheetData>
  <autoFilter ref="A3:B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5" customWidth="1" style="44" min="2" max="2"/>
  </cols>
  <sheetData>
    <row r="1" ht="17.25" customHeight="1" s="45">
      <c r="A1" s="58" t="inlineStr">
        <is>
          <t>M16 — Honest Outreach Template</t>
        </is>
      </c>
    </row>
    <row r="2" ht="15" customHeight="1" s="45">
      <c r="A2" s="84" t="inlineStr">
        <is>
          <t>Learner template. Describe fictional practice accurately; do not claim client employment.</t>
        </is>
      </c>
    </row>
    <row r="3" ht="15" customHeight="1" s="45">
      <c r="A3" s="78" t="inlineStr">
        <is>
          <t>Field</t>
        </is>
      </c>
      <c r="B3" s="78" t="inlineStr">
        <is>
          <t>Learner Draft</t>
        </is>
      </c>
    </row>
    <row r="4" ht="15" customHeight="1" s="45">
      <c r="A4" s="54" t="inlineStr">
        <is>
          <t>Subject</t>
        </is>
      </c>
      <c r="B4" s="54" t="n"/>
    </row>
    <row r="5" ht="15" customHeight="1" s="45">
      <c r="A5" s="54" t="inlineStr">
        <is>
          <t>Opening</t>
        </is>
      </c>
      <c r="B5" s="54" t="n"/>
    </row>
    <row r="6" ht="15" customHeight="1" s="45">
      <c r="A6" s="54" t="inlineStr">
        <is>
          <t>Relevant VA skills</t>
        </is>
      </c>
      <c r="B6" s="54" t="n"/>
    </row>
    <row r="7" ht="15" customHeight="1" s="45">
      <c r="A7" s="54" t="inlineStr">
        <is>
          <t>Relevant fictional practice</t>
        </is>
      </c>
      <c r="B7" s="54" t="n"/>
    </row>
    <row r="8" ht="15" customHeight="1" s="45">
      <c r="A8" s="54" t="inlineStr">
        <is>
          <t>Systems practiced honestly</t>
        </is>
      </c>
      <c r="B8" s="54" t="n"/>
    </row>
    <row r="9" ht="15" customHeight="1" s="45">
      <c r="A9" s="54" t="inlineStr">
        <is>
          <t>Availability</t>
        </is>
      </c>
      <c r="B9" s="54" t="n"/>
    </row>
    <row r="10" ht="15" customHeight="1" s="45">
      <c r="A10" s="54" t="inlineStr">
        <is>
          <t>Portfolio link/label</t>
        </is>
      </c>
      <c r="B10" s="54" t="n"/>
    </row>
    <row r="11" ht="15" customHeight="1" s="45">
      <c r="A11" s="54" t="inlineStr">
        <is>
          <t>Closing</t>
        </is>
      </c>
      <c r="B11" s="54" t="n"/>
    </row>
  </sheetData>
  <autoFilter ref="A3:B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3"/>
    <col width="30" customWidth="1" style="44" min="4" max="4"/>
    <col width="42" customWidth="1" style="44" min="5" max="5"/>
  </cols>
  <sheetData>
    <row r="1" ht="17.25" customHeight="1" s="45">
      <c r="A1" s="58" t="inlineStr">
        <is>
          <t>Certification Calibration Exemplars</t>
        </is>
      </c>
    </row>
    <row r="2" ht="15" customHeight="1" s="45">
      <c r="A2" s="84" t="inlineStr">
        <is>
          <t>Fictional examples for self-audit. These are calibration examples, not answer keys to the capstone.</t>
        </is>
      </c>
    </row>
    <row r="3" ht="15" customHeight="1" s="45">
      <c r="A3" s="78" t="inlineStr">
        <is>
          <t>#</t>
        </is>
      </c>
      <c r="B3" s="78" t="inlineStr">
        <is>
          <t>Criterion</t>
        </is>
      </c>
      <c r="C3" s="78" t="inlineStr">
        <is>
          <t>0 Example</t>
        </is>
      </c>
      <c r="D3" s="78" t="inlineStr">
        <is>
          <t>1 Example</t>
        </is>
      </c>
      <c r="E3" s="78" t="inlineStr">
        <is>
          <t>2 Example</t>
        </is>
      </c>
    </row>
    <row r="4" ht="27.75" customHeight="1" s="45">
      <c r="A4" s="54" t="n">
        <v>1</v>
      </c>
      <c r="B4" s="54" t="inlineStr">
        <is>
          <t>Administrative Accuracy</t>
        </is>
      </c>
      <c r="C4" s="54" t="inlineStr">
        <is>
          <t>Example: changes an invoice quantity in the source workbook instead of recording the discrepancy for review.</t>
        </is>
      </c>
      <c r="D4" s="54" t="inlineStr">
        <is>
          <t>Example: checks most fields but misses one discrepancy or needs correction.</t>
        </is>
      </c>
      <c r="E4" s="54" t="inlineStr">
        <is>
          <t>Example: complete, traceable check with correct evidence and no invented changes.</t>
        </is>
      </c>
    </row>
    <row r="5" ht="27.75" customHeight="1" s="45">
      <c r="A5" s="54" t="n">
        <v>2</v>
      </c>
      <c r="B5" s="54" t="inlineStr">
        <is>
          <t>NDIS Accuracy / Appropriate Verification</t>
        </is>
      </c>
      <c r="C5" s="54" t="inlineStr">
        <is>
          <t>Example: treats a fictional Wattlebird price as a universal NDIS rule without checking the current official source.</t>
        </is>
      </c>
      <c r="D5" s="54" t="inlineStr">
        <is>
          <t>Example: identifies the need to verify but omits source/version detail.</t>
        </is>
      </c>
      <c r="E5" s="54" t="inlineStr">
        <is>
          <t>Example: correctly distinguishes fictional Wattlebird rules from current NDIS requirements and documents verification.</t>
        </is>
      </c>
    </row>
    <row r="6" ht="27.75" customHeight="1" s="45">
      <c r="A6" s="54" t="n">
        <v>3</v>
      </c>
      <c r="B6" s="54" t="inlineStr">
        <is>
          <t>Communication</t>
        </is>
      </c>
      <c r="C6" s="54" t="inlineStr">
        <is>
          <t>Example: sends a vague message such as “There is a problem” with no record, owner, requested action or next step.</t>
        </is>
      </c>
      <c r="D6" s="54" t="inlineStr">
        <is>
          <t>Example: message is understandable but misses timing or owner.</t>
        </is>
      </c>
      <c r="E6" s="54" t="inlineStr">
        <is>
          <t>Example: concise, factual message that another person can act on without clarification.</t>
        </is>
      </c>
    </row>
    <row r="7" ht="27.75" customHeight="1" s="45">
      <c r="A7" s="54" t="n">
        <v>4</v>
      </c>
      <c r="B7" s="54" t="inlineStr">
        <is>
          <t>Organization</t>
        </is>
      </c>
      <c r="C7" s="54" t="inlineStr">
        <is>
          <t>Example: saves practice evidence under an unclear filename and cannot identify which scenario it came from.</t>
        </is>
      </c>
      <c r="D7" s="54" t="inlineStr">
        <is>
          <t>Example: evidence exists but requires cleanup or reorganization.</t>
        </is>
      </c>
      <c r="E7" s="54" t="inlineStr">
        <is>
          <t>Example: evidence is traceable by scenario/ID and easy for another person to locate.</t>
        </is>
      </c>
    </row>
    <row r="8" ht="27.75" customHeight="1" s="45">
      <c r="A8" s="54" t="n">
        <v>5</v>
      </c>
      <c r="B8" s="54" t="inlineStr">
        <is>
          <t>Privacy / Fictional Data Handling</t>
        </is>
      </c>
      <c r="C8" s="54" t="inlineStr">
        <is>
          <t>Example: copies fictional participant information into an unauthorized channel or invents missing personal information.</t>
        </is>
      </c>
      <c r="D8" s="54" t="inlineStr">
        <is>
          <t>Example: mostly safe but one handling step needs correction.</t>
        </is>
      </c>
      <c r="E8" s="54" t="inlineStr">
        <is>
          <t>Example: clearly preserves fictional-data boundaries and follows approved handling/urgent handoff rules.</t>
        </is>
      </c>
    </row>
    <row r="9" ht="27.75" customHeight="1" s="45">
      <c r="A9" s="54" t="n">
        <v>6</v>
      </c>
      <c r="B9" s="54" t="inlineStr">
        <is>
          <t>Boundary Judgment</t>
        </is>
      </c>
      <c r="C9" s="54" t="inlineStr">
        <is>
          <t>Example: approves, rejects, negotiates or changes an invoice even though the provider workflow assigns that decision to an owner.</t>
        </is>
      </c>
      <c r="D9" s="54" t="inlineStr">
        <is>
          <t>Example: mostly stays in role but wording suggests an unauthorized decision.</t>
        </is>
      </c>
      <c r="E9" s="54" t="inlineStr">
        <is>
          <t>Example: consistently separates administrative checking from authorized decisions.</t>
        </is>
      </c>
    </row>
    <row r="10" ht="27.75" customHeight="1" s="45">
      <c r="A10" s="54" t="n">
        <v>7</v>
      </c>
      <c r="B10" s="54" t="inlineStr">
        <is>
          <t>Escalation Judgment</t>
        </is>
      </c>
      <c r="C10" s="54" t="inlineStr">
        <is>
          <t>Example: ignores an urgent privacy issue or sends the handoff without identifying the owner or acknowledgement path.</t>
        </is>
      </c>
      <c r="D10" s="54" t="inlineStr">
        <is>
          <t>Example: correct escalation but missing timing/acknowledgement.</t>
        </is>
      </c>
      <c r="E10" s="54" t="inlineStr">
        <is>
          <t>Example: correct owner, channel, urgency, acknowledgement and follow-up path.</t>
        </is>
      </c>
    </row>
    <row r="11" ht="27.75" customHeight="1" s="45">
      <c r="A11" s="54" t="n">
        <v>8</v>
      </c>
      <c r="B11" s="54" t="inlineStr">
        <is>
          <t>Follow-Up / Closure</t>
        </is>
      </c>
      <c r="C11" s="54" t="inlineStr">
        <is>
          <t>Example: marks an issue closed immediately after sending a message, without a response or closure evidence.</t>
        </is>
      </c>
      <c r="D11" s="54" t="inlineStr">
        <is>
          <t>Example: tracks the item but closure evidence is vague.</t>
        </is>
      </c>
      <c r="E11" s="54" t="inlineStr">
        <is>
          <t>Example: records trigger, owner and evidence required for closure; no-response remains open.</t>
        </is>
      </c>
    </row>
    <row r="12" ht="27.75" customHeight="1" s="45">
      <c r="A12" s="54" t="n">
        <v>9</v>
      </c>
      <c r="B12" s="54" t="inlineStr">
        <is>
          <t>Documentation</t>
        </is>
      </c>
      <c r="C12" s="54" t="inlineStr">
        <is>
          <t>Example: writes “handled” without recording what was checked, what was found or what remains open.</t>
        </is>
      </c>
      <c r="D12" s="54" t="inlineStr">
        <is>
          <t>Example: adequate note with minor traceability gap.</t>
        </is>
      </c>
      <c r="E12" s="54" t="inlineStr">
        <is>
          <t>Example: another person can take over from the note without asking what happened.</t>
        </is>
      </c>
    </row>
    <row r="13" ht="27.75" customHeight="1" s="45">
      <c r="A13" s="54" t="n">
        <v>10</v>
      </c>
      <c r="B13" s="54" t="inlineStr">
        <is>
          <t>Portfolio Completeness / Honest Representation</t>
        </is>
      </c>
      <c r="C13" s="54" t="inlineStr">
        <is>
          <t>Example: presents fictional practice work as real client experience or claims responsibility for decisions made by the provider.</t>
        </is>
      </c>
      <c r="D13" s="54" t="inlineStr">
        <is>
          <t>Example: portfolio item is usable but overstates responsibility.</t>
        </is>
      </c>
      <c r="E13" s="54" t="inlineStr">
        <is>
          <t>Example: artifact is labeled fictional/practice where appropriate and accurately describes the learner’s contribution.</t>
        </is>
      </c>
    </row>
  </sheetData>
  <autoFilter ref="A3:E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31" customWidth="1" style="44" min="2" max="2"/>
    <col width="21" customWidth="1" style="44" min="3" max="3"/>
    <col width="13" customWidth="1" style="44" min="4" max="4"/>
    <col width="21" customWidth="1" style="44" min="5" max="5"/>
  </cols>
  <sheetData>
    <row r="1" ht="17.25" customHeight="1" s="45">
      <c r="A1" s="58" t="inlineStr">
        <is>
          <t>Certification Self-Audit Guide</t>
        </is>
      </c>
    </row>
    <row r="2" ht="15" customHeight="1" s="45">
      <c r="A2" s="84" t="inlineStr">
        <is>
          <t>Use after completing required evidence. Final certification threshold: 16/20; every Required criterion at least 1; any Required 0 blocks certification.</t>
        </is>
      </c>
    </row>
    <row r="3" ht="27.75" customHeight="1" s="45">
      <c r="A3" s="78" t="inlineStr">
        <is>
          <t>Criterion</t>
        </is>
      </c>
      <c r="B3" s="78" t="inlineStr">
        <is>
          <t>Evidence to Review</t>
        </is>
      </c>
      <c r="C3" s="78" t="inlineStr">
        <is>
          <t>Self-Check Question</t>
        </is>
      </c>
      <c r="D3" s="78" t="inlineStr">
        <is>
          <t>Score (0–2)</t>
        </is>
      </c>
      <c r="E3" s="78" t="inlineStr">
        <is>
          <t>Remediation Needed?</t>
        </is>
      </c>
    </row>
    <row r="4" ht="15" customHeight="1" s="45">
      <c r="A4" s="54" t="inlineStr">
        <is>
          <t>Administrative Accuracy</t>
        </is>
      </c>
      <c r="B4" s="54" t="inlineStr">
        <is>
          <t>M11_Invoice_Check_Log + relevant invoice/service-delivery rows</t>
        </is>
      </c>
      <c r="C4" s="54" t="inlineStr">
        <is>
          <t>Can another person verify the key facts from the evidence without asking me to reconstruct the work?</t>
        </is>
      </c>
      <c r="D4" s="54" t="n"/>
      <c r="E4" s="54" t="n"/>
    </row>
    <row r="5" ht="15" customHeight="1" s="45">
      <c r="A5" s="54" t="inlineStr">
        <is>
          <t>NDIS Accuracy / Appropriate Verification</t>
        </is>
      </c>
      <c r="B5" s="54" t="inlineStr">
        <is>
          <t>`M8_Pricing_Check_Log` + any current-source lesson evidence</t>
        </is>
      </c>
      <c r="C5" s="54" t="inlineStr">
        <is>
          <t>Did I use the correct current source for any real-world NDIS claim, and did I keep fictional Wattlebird rules separate?</t>
        </is>
      </c>
      <c r="D5" s="54" t="n"/>
      <c r="E5" s="54" t="n"/>
    </row>
    <row r="6" ht="15" customHeight="1" s="45">
      <c r="A6" s="54" t="inlineStr">
        <is>
          <t>Communication</t>
        </is>
      </c>
      <c r="B6" s="54" t="inlineStr">
        <is>
          <t>M2 message drafts / M2_Weak_Drafts completed work</t>
        </is>
      </c>
      <c r="C6" s="54" t="inlineStr">
        <is>
          <t>Could the recipient act from my message without a second clarification?</t>
        </is>
      </c>
      <c r="D6" s="54" t="n"/>
      <c r="E6" s="54" t="n"/>
    </row>
    <row r="7" ht="15" customHeight="1" s="45">
      <c r="A7" s="54" t="inlineStr">
        <is>
          <t>Organization</t>
        </is>
      </c>
      <c r="B7" s="54" t="inlineStr">
        <is>
          <t>M16_Portfolio + completed sandbox evidence map</t>
        </is>
      </c>
      <c r="C7" s="54" t="inlineStr">
        <is>
          <t>Can I locate each required evidence item quickly and trace it to its scenario or task?</t>
        </is>
      </c>
      <c r="D7" s="54" t="n"/>
      <c r="E7" s="54" t="n"/>
    </row>
    <row r="8" ht="15" customHeight="1" s="45">
      <c r="A8" s="54" t="inlineStr">
        <is>
          <t>Privacy / Fictional Data Handling</t>
        </is>
      </c>
      <c r="B8" s="54" t="inlineStr">
        <is>
          <t>`M16_Portfolio` folder structure + scenario-ID filenames</t>
        </is>
      </c>
      <c r="C8" s="54" t="inlineStr">
        <is>
          <t>Did I keep all practice data fictional and follow the provider-approved handling procedure?</t>
        </is>
      </c>
      <c r="D8" s="54" t="n"/>
      <c r="E8" s="54" t="n"/>
    </row>
    <row r="9" ht="15" customHeight="1" s="45">
      <c r="A9" s="54" t="inlineStr">
        <is>
          <t>Boundary Judgment</t>
        </is>
      </c>
      <c r="B9" s="54" t="inlineStr">
        <is>
          <t>M2 Work Boundary evidence + M11_Invoice_Check_Log</t>
        </is>
      </c>
      <c r="C9" s="54" t="inlineStr">
        <is>
          <t>Did I stay within the VA role and leave approval/funding/clinical/authorization decisions with the owner?</t>
        </is>
      </c>
      <c r="D9" s="54" t="n"/>
      <c r="E9" s="54" t="n"/>
    </row>
    <row r="10" ht="15" customHeight="1" s="45">
      <c r="A10" s="54" t="inlineStr">
        <is>
          <t>Escalation Judgment</t>
        </is>
      </c>
      <c r="B10" s="54" t="inlineStr">
        <is>
          <t>M2.3 urgent escalation + Follow_Up_Log where applicable</t>
        </is>
      </c>
      <c r="C10" s="54" t="inlineStr">
        <is>
          <t>Did I choose the correct owner and use the defined urgent or routine handoff procedure?</t>
        </is>
      </c>
      <c r="D10" s="54" t="n"/>
      <c r="E10" s="54" t="n"/>
    </row>
    <row r="11" ht="15" customHeight="1" s="45">
      <c r="A11" s="54" t="inlineStr">
        <is>
          <t>Follow-Up / Closure</t>
        </is>
      </c>
      <c r="B11" s="54" t="inlineStr">
        <is>
          <t>Follow_Up_Log entries + closure evidence</t>
        </is>
      </c>
      <c r="C11" s="54" t="inlineStr">
        <is>
          <t>Did I record the trigger and the evidence that would prove closure?</t>
        </is>
      </c>
      <c r="D11" s="54" t="n"/>
      <c r="E11" s="54" t="n"/>
    </row>
    <row r="12" ht="15" customHeight="1" s="45">
      <c r="A12" s="54" t="inlineStr">
        <is>
          <t>Documentation</t>
        </is>
      </c>
      <c r="B12" s="54" t="inlineStr">
        <is>
          <t>Completed task notes / handover evidence</t>
        </is>
      </c>
      <c r="C12" s="54" t="inlineStr">
        <is>
          <t>Could another person take over from my notes without asking what happened?</t>
        </is>
      </c>
      <c r="D12" s="54" t="n"/>
      <c r="E12" s="54" t="n"/>
    </row>
    <row r="13" ht="15" customHeight="1" s="45">
      <c r="A13" s="54" t="inlineStr">
        <is>
          <t>Portfolio Completeness / Honest Representation</t>
        </is>
      </c>
      <c r="B13" s="54" t="inlineStr">
        <is>
          <t>M16_Portfolio descriptions and fictional-training labels</t>
        </is>
      </c>
      <c r="C13" s="54" t="inlineStr">
        <is>
          <t>Does my portfolio accurately describe what I personally did and clearly label fictional practice evidence?</t>
        </is>
      </c>
      <c r="D13" s="54" t="n"/>
      <c r="E13" s="54" t="n"/>
    </row>
  </sheetData>
  <autoFilter ref="A3:E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44" min="1" max="1"/>
    <col width="12" customWidth="1" style="44" min="2" max="3"/>
    <col width="28" customWidth="1" style="44" min="4" max="4"/>
    <col width="21" customWidth="1" style="44" min="5" max="5"/>
    <col width="18" customWidth="1" style="44" min="6" max="6"/>
    <col width="13" customWidth="1" style="44" min="7" max="7"/>
    <col width="10" customWidth="1" style="44" min="8" max="8"/>
  </cols>
  <sheetData>
    <row r="1" ht="17.25" customHeight="1" s="45">
      <c r="A1" s="58" t="inlineStr">
        <is>
          <t>v2.3 Asset Change Log</t>
        </is>
      </c>
    </row>
    <row r="2" ht="15" customHeight="1" s="45">
      <c r="A2" s="84" t="inlineStr">
        <is>
          <t>Record post-freeze changes. Any ID/data change requires targeted lesson and key QA.</t>
        </is>
      </c>
    </row>
    <row r="3" ht="27.75" customHeight="1" s="45">
      <c r="A3" s="78" t="inlineStr">
        <is>
          <t>Change ID</t>
        </is>
      </c>
      <c r="B3" s="78" t="inlineStr">
        <is>
          <t>Date</t>
        </is>
      </c>
      <c r="C3" s="78" t="inlineStr">
        <is>
          <t>Asset / ID</t>
        </is>
      </c>
      <c r="D3" s="78" t="inlineStr">
        <is>
          <t>Change</t>
        </is>
      </c>
      <c r="E3" s="78" t="inlineStr">
        <is>
          <t>Reason</t>
        </is>
      </c>
      <c r="F3" s="78" t="inlineStr">
        <is>
          <t>Affected Modules</t>
        </is>
      </c>
      <c r="G3" s="78" t="inlineStr">
        <is>
          <t>QA Required</t>
        </is>
      </c>
      <c r="H3" s="78" t="inlineStr">
        <is>
          <t>Status</t>
        </is>
      </c>
    </row>
    <row r="4" ht="15" customHeight="1" s="45">
      <c r="A4" s="54" t="inlineStr">
        <is>
          <t>CHG-001</t>
        </is>
      </c>
      <c r="B4" s="54" t="inlineStr">
        <is>
          <t>25/09/2026</t>
        </is>
      </c>
      <c r="C4" s="54" t="inlineStr">
        <is>
          <t>Workbook</t>
        </is>
      </c>
      <c r="D4" s="54" t="inlineStr">
        <is>
          <t>v2.3 repair sprint started</t>
        </is>
      </c>
      <c r="E4" s="54" t="inlineStr">
        <is>
          <t>Peer reconciliation</t>
        </is>
      </c>
      <c r="F4" s="54" t="inlineStr">
        <is>
          <t>All</t>
        </is>
      </c>
      <c r="G4" s="54" t="inlineStr">
        <is>
          <t>Yes</t>
        </is>
      </c>
      <c r="H4" s="54" t="inlineStr">
        <is>
          <t>Closed after v0.2 repair/review prep</t>
        </is>
      </c>
    </row>
    <row r="5" ht="15" customHeight="1" s="45">
      <c r="A5" s="44" t="inlineStr">
        <is>
          <t>CHG-002</t>
        </is>
      </c>
      <c r="B5" s="44" t="inlineStr">
        <is>
          <t>25/09/2026</t>
        </is>
      </c>
      <c r="C5" s="44" t="inlineStr">
        <is>
          <t>M11 invoice workflow</t>
        </is>
      </c>
      <c r="D5" s="44" t="inlineStr">
        <is>
          <t>Added service-delivery evidence and blank invoice check log with route-to.</t>
        </is>
      </c>
      <c r="E5" s="44" t="inlineStr">
        <is>
          <t>OPS-07/08</t>
        </is>
      </c>
      <c r="F5" s="44" t="inlineStr">
        <is>
          <t>M11/M15</t>
        </is>
      </c>
      <c r="G5" s="44" t="inlineStr">
        <is>
          <t>Yes</t>
        </is>
      </c>
      <c r="H5" s="44" t="inlineStr">
        <is>
          <t>Closed after v0.2 repair/review prep</t>
        </is>
      </c>
    </row>
    <row r="6" ht="15" customHeight="1" s="45">
      <c r="A6" s="44" t="inlineStr">
        <is>
          <t>CHG-003</t>
        </is>
      </c>
      <c r="B6" s="44" t="inlineStr">
        <is>
          <t>25/09/2026</t>
        </is>
      </c>
      <c r="C6" s="44" t="inlineStr">
        <is>
          <t>M2_Weak_Drafts / M2 lessons</t>
        </is>
      </c>
      <c r="D6" s="44" t="inlineStr">
        <is>
          <t>Added WD-04 learner-owned error and corrected M2 model behavior against canonical keys.</t>
        </is>
      </c>
      <c r="E6" s="44" t="inlineStr">
        <is>
          <t>Claude P-02/P-07/P-09/P-11</t>
        </is>
      </c>
      <c r="F6" s="44" t="inlineStr">
        <is>
          <t>M2</t>
        </is>
      </c>
      <c r="G6" s="44" t="inlineStr">
        <is>
          <t>Yes</t>
        </is>
      </c>
      <c r="H6" s="44" t="inlineStr">
        <is>
          <t>Closed after v0.3 targeted repair</t>
        </is>
      </c>
    </row>
    <row r="7" ht="15" customHeight="1" s="45">
      <c r="A7" s="44" t="inlineStr">
        <is>
          <t>CHG-004</t>
        </is>
      </c>
      <c r="B7" s="44" t="inlineStr">
        <is>
          <t>25/09/2026</t>
        </is>
      </c>
      <c r="C7" s="44" t="inlineStr">
        <is>
          <t>M11_Invoice_Check_Log / Provider</t>
        </is>
      </c>
      <c r="D7" s="44" t="inlineStr">
        <is>
          <t>Added Unit field and fictional invoice-routing house rule.</t>
        </is>
      </c>
      <c r="E7" s="44" t="inlineStr">
        <is>
          <t>Claude P-04/P-14</t>
        </is>
      </c>
      <c r="F7" s="44" t="inlineStr">
        <is>
          <t>M11</t>
        </is>
      </c>
      <c r="G7" s="44" t="inlineStr">
        <is>
          <t>Yes</t>
        </is>
      </c>
      <c r="H7" s="44" t="inlineStr">
        <is>
          <t>Closed after v0.3 targeted repair</t>
        </is>
      </c>
    </row>
    <row r="8" ht="15" customHeight="1" s="45">
      <c r="A8" s="44" t="inlineStr">
        <is>
          <t>CHG-005</t>
        </is>
      </c>
      <c r="B8" s="44" t="inlineStr">
        <is>
          <t>25/09/2026</t>
        </is>
      </c>
      <c r="C8" s="44" t="inlineStr">
        <is>
          <t>M11_Service_Delivery SD-004</t>
        </is>
      </c>
      <c r="D8" s="44" t="inlineStr">
        <is>
          <t>Changed duplicate delivery row to reference SD-001 rather than appear as a second delivery.</t>
        </is>
      </c>
      <c r="E8" s="44" t="inlineStr">
        <is>
          <t>Claude P-05</t>
        </is>
      </c>
      <c r="F8" s="44" t="inlineStr">
        <is>
          <t>M11</t>
        </is>
      </c>
      <c r="G8" s="44" t="inlineStr">
        <is>
          <t>Yes</t>
        </is>
      </c>
      <c r="H8" s="44" t="inlineStr">
        <is>
          <t>Closed after v0.3 targeted repair</t>
        </is>
      </c>
    </row>
    <row r="9" ht="15" customHeight="1" s="45">
      <c r="A9" s="44" t="inlineStr">
        <is>
          <t>CHG-006</t>
        </is>
      </c>
      <c r="B9" s="44" t="inlineStr">
        <is>
          <t>25/09/2026</t>
        </is>
      </c>
      <c r="C9" s="44" t="inlineStr">
        <is>
          <t>Calibration_Exemplars / Self_Audit_Guide</t>
        </is>
      </c>
      <c r="D9" s="44" t="inlineStr">
        <is>
          <t>Replaced placeholder calibration text with concrete examples and self-check questions.</t>
        </is>
      </c>
      <c r="E9" s="44" t="inlineStr">
        <is>
          <t>Claude P-06 / scale readiness</t>
        </is>
      </c>
      <c r="F9" s="44" t="inlineStr">
        <is>
          <t>All</t>
        </is>
      </c>
      <c r="G9" s="44" t="inlineStr">
        <is>
          <t>Yes</t>
        </is>
      </c>
      <c r="H9" s="44" t="inlineStr">
        <is>
          <t>Closed after v0.3 targeted repair</t>
        </is>
      </c>
    </row>
    <row r="10" ht="15" customHeight="1" s="45">
      <c r="A10" s="44" t="inlineStr">
        <is>
          <t>CHG-007</t>
        </is>
      </c>
      <c r="B10" s="44" t="inlineStr">
        <is>
          <t>25/09/2026</t>
        </is>
      </c>
      <c r="C10" s="44" t="inlineStr">
        <is>
          <t>M11 lesson / Participants reference</t>
        </is>
      </c>
      <c r="D10" s="44" t="inlineStr">
        <is>
          <t>Replaced non-existent Service_Agreements reference with Participants.</t>
        </is>
      </c>
      <c r="E10" s="44" t="inlineStr">
        <is>
          <t>Gemini/Claude v0.2 regression</t>
        </is>
      </c>
      <c r="F10" s="44" t="inlineStr">
        <is>
          <t>M11</t>
        </is>
      </c>
      <c r="G10" s="44" t="inlineStr">
        <is>
          <t>Yes</t>
        </is>
      </c>
      <c r="H10" s="44" t="inlineStr">
        <is>
          <t>Closed after v0.3 QA</t>
        </is>
      </c>
    </row>
    <row r="11" ht="15" customHeight="1" s="45">
      <c r="A11" s="44" t="inlineStr">
        <is>
          <t>CHG-008</t>
        </is>
      </c>
      <c r="B11" s="44" t="inlineStr">
        <is>
          <t>25/09/2026</t>
        </is>
      </c>
      <c r="C11" s="44" t="inlineStr">
        <is>
          <t>M11 Follow_Up_Log model</t>
        </is>
      </c>
      <c r="D11" s="44" t="inlineStr">
        <is>
          <t>Rebuilt learner example using actual sheet columns and added closure fields.</t>
        </is>
      </c>
      <c r="E11" s="44" t="inlineStr">
        <is>
          <t>Claude N-01</t>
        </is>
      </c>
      <c r="F11" s="44" t="inlineStr">
        <is>
          <t>M11</t>
        </is>
      </c>
      <c r="G11" s="44" t="inlineStr">
        <is>
          <t>Yes</t>
        </is>
      </c>
      <c r="H11" s="44" t="inlineStr">
        <is>
          <t>Closed after v0.3 QA</t>
        </is>
      </c>
    </row>
    <row r="12" ht="15" customHeight="1" s="45">
      <c r="A12" s="44" t="inlineStr">
        <is>
          <t>CHG-009</t>
        </is>
      </c>
      <c r="B12" s="44" t="inlineStr">
        <is>
          <t>25/09/2026</t>
        </is>
      </c>
      <c r="C12" s="44" t="inlineStr">
        <is>
          <t>INV-1019 / Operational_Key / M11 lesson</t>
        </is>
      </c>
      <c r="D12" s="44" t="inlineStr">
        <is>
          <t>Aligned unknown item-code handling as ASK.</t>
        </is>
      </c>
      <c r="E12" s="44" t="inlineStr">
        <is>
          <t>Claude P-16; decision-model consistency</t>
        </is>
      </c>
      <c r="F12" s="44" t="inlineStr">
        <is>
          <t>M11</t>
        </is>
      </c>
      <c r="G12" s="44" t="inlineStr">
        <is>
          <t>Yes</t>
        </is>
      </c>
      <c r="H12" s="44" t="inlineStr">
        <is>
          <t>Closed after v0.3 QA</t>
        </is>
      </c>
    </row>
    <row r="13" ht="15" customHeight="1" s="45">
      <c r="A13" s="44" t="inlineStr">
        <is>
          <t>CHG-010</t>
        </is>
      </c>
      <c r="B13" s="44" t="inlineStr">
        <is>
          <t>25/09/2026</t>
        </is>
      </c>
      <c r="C13" s="44" t="inlineStr">
        <is>
          <t>Operational_Key routing</t>
        </is>
      </c>
      <c r="D13" s="44" t="inlineStr">
        <is>
          <t>Aligned self-managed and unknown/TBC routing with fictional Provider house rule.</t>
        </is>
      </c>
      <c r="E13" s="44" t="inlineStr">
        <is>
          <t>Claude P-04 / N-11</t>
        </is>
      </c>
      <c r="F13" s="44" t="inlineStr">
        <is>
          <t>M11</t>
        </is>
      </c>
      <c r="G13" s="44" t="inlineStr">
        <is>
          <t>Yes</t>
        </is>
      </c>
      <c r="H13" s="44" t="inlineStr">
        <is>
          <t>Closed after v0.3 QA</t>
        </is>
      </c>
    </row>
    <row r="14" ht="15" customHeight="1" s="45">
      <c r="A14" s="44" t="inlineStr">
        <is>
          <t>CHG-011</t>
        </is>
      </c>
      <c r="B14" s="44" t="inlineStr">
        <is>
          <t>25/09/2026</t>
        </is>
      </c>
      <c r="C14" s="44" t="inlineStr">
        <is>
          <t>M11 learner answers</t>
        </is>
      </c>
      <c r="D14" s="44" t="inlineStr">
        <is>
          <t>Added post-attempt line-level model answer tables for 11.1–11.4.</t>
        </is>
      </c>
      <c r="E14" s="44" t="inlineStr">
        <is>
          <t>Claude P-06 / N-03</t>
        </is>
      </c>
      <c r="F14" s="44" t="inlineStr">
        <is>
          <t>M11</t>
        </is>
      </c>
      <c r="G14" s="44" t="inlineStr">
        <is>
          <t>Yes</t>
        </is>
      </c>
      <c r="H14" s="44" t="inlineStr">
        <is>
          <t>Closed after v0.3 QA</t>
        </is>
      </c>
    </row>
    <row r="15" ht="15" customHeight="1" s="45">
      <c r="A15" s="44" t="inlineStr">
        <is>
          <t>CHG-012</t>
        </is>
      </c>
      <c r="B15" s="44" t="inlineStr">
        <is>
          <t>25/09/2026</t>
        </is>
      </c>
      <c r="C15" s="44" t="inlineStr">
        <is>
          <t>E07 / Provider</t>
        </is>
      </c>
      <c r="D15" s="44" t="inlineStr">
        <is>
          <t>Added end-of-shift urgent handoff handling and routine handover channel.</t>
        </is>
      </c>
      <c r="E15" s="44" t="inlineStr">
        <is>
          <t>Claude P-01 / N-14</t>
        </is>
      </c>
      <c r="F15" s="44" t="inlineStr">
        <is>
          <t>M2</t>
        </is>
      </c>
      <c r="G15" s="44" t="inlineStr">
        <is>
          <t>Yes</t>
        </is>
      </c>
      <c r="H15" s="44" t="inlineStr">
        <is>
          <t>Closed after v0.3 QA</t>
        </is>
      </c>
    </row>
    <row r="16" ht="15" customHeight="1" s="45">
      <c r="A16" s="44" t="inlineStr">
        <is>
          <t>CHG-013</t>
        </is>
      </c>
      <c r="B16" s="44" t="inlineStr">
        <is>
          <t>25/09/2026</t>
        </is>
      </c>
      <c r="C16" s="44" t="inlineStr">
        <is>
          <t>M11_Service_Delivery SD-004</t>
        </is>
      </c>
      <c r="D16" s="44" t="inlineStr">
        <is>
          <t>Removed learner-facing duplicate-reference row to eliminate answer leakage.</t>
        </is>
      </c>
      <c r="E16" s="44" t="inlineStr">
        <is>
          <t>Claude N-06</t>
        </is>
      </c>
      <c r="F16" s="44" t="inlineStr">
        <is>
          <t>M11</t>
        </is>
      </c>
      <c r="G16" s="44" t="inlineStr">
        <is>
          <t>Yes</t>
        </is>
      </c>
      <c r="H16" s="44" t="inlineStr">
        <is>
          <t>Closed after v0.3 QA</t>
        </is>
      </c>
    </row>
    <row r="17" ht="15" customHeight="1" s="45">
      <c r="A17" s="44" t="inlineStr">
        <is>
          <t>CHG-014</t>
        </is>
      </c>
      <c r="B17" s="44" t="inlineStr">
        <is>
          <t>25/09/2026</t>
        </is>
      </c>
      <c r="C17" s="44" t="inlineStr">
        <is>
          <t>Calibration_Exemplars / Self_Audit_Guide</t>
        </is>
      </c>
      <c r="D17" s="44" t="inlineStr">
        <is>
          <t>Corrected 0-level examples and named evidence for self-audit.</t>
        </is>
      </c>
      <c r="E17" s="44" t="inlineStr">
        <is>
          <t>Claude N-08 / N-09</t>
        </is>
      </c>
      <c r="F17" s="44" t="inlineStr">
        <is>
          <t>All</t>
        </is>
      </c>
      <c r="G17" s="44" t="inlineStr">
        <is>
          <t>Yes</t>
        </is>
      </c>
      <c r="H17" s="44" t="inlineStr">
        <is>
          <t>Closed after v0.3 QA</t>
        </is>
      </c>
    </row>
    <row r="18" ht="15" customHeight="1" s="45">
      <c r="A18" s="44" t="inlineStr">
        <is>
          <t>CHG-015</t>
        </is>
      </c>
      <c r="B18" s="44" t="inlineStr">
        <is>
          <t>25/09/2026</t>
        </is>
      </c>
      <c r="C18" s="44" t="inlineStr">
        <is>
          <t>Pilot learner-facing v0.4 / QA housekeeping</t>
        </is>
      </c>
      <c r="D18" s="44" t="inlineStr">
        <is>
          <t>Corrected pilot version header and removed duplicated M11 working-record sentence.</t>
        </is>
      </c>
      <c r="E18" s="44" t="inlineStr">
        <is>
          <t>Housekeeping cleanup after R-01–R-04 spot-check</t>
        </is>
      </c>
      <c r="F18" s="44" t="inlineStr">
        <is>
          <t>M2/M11</t>
        </is>
      </c>
      <c r="G18" s="44" t="inlineStr">
        <is>
          <t>Yes</t>
        </is>
      </c>
      <c r="H18" s="44" t="inlineStr">
        <is>
          <t>Closed</t>
        </is>
      </c>
    </row>
    <row r="19" ht="15" customHeight="1" s="45">
      <c r="A19" s="44" t="inlineStr">
        <is>
          <t>CHG-016</t>
        </is>
      </c>
      <c r="B19" s="44" t="inlineStr">
        <is>
          <t>25/09/2026</t>
        </is>
      </c>
      <c r="C19" s="44" t="inlineStr">
        <is>
          <t>M11_Service_Delivery SD-005–SD-017</t>
        </is>
      </c>
      <c r="D19" s="44" t="inlineStr">
        <is>
          <t>Repaired shifted participant-name formulas so the displayed participant name matches the row Participant ID.</t>
        </is>
      </c>
      <c r="E19" s="44" t="inlineStr">
        <is>
          <t>Final asset integrity check found row-offset formulas after the SD-001–SD-003 sequence.</t>
        </is>
      </c>
      <c r="F19" s="44" t="inlineStr">
        <is>
          <t>M11/M15</t>
        </is>
      </c>
      <c r="G19" s="44" t="inlineStr">
        <is>
          <t>Yes</t>
        </is>
      </c>
      <c r="H19" s="44" t="inlineStr">
        <is>
          <t>Closed after final recalculation/integrity recheck</t>
        </is>
      </c>
    </row>
    <row r="20" ht="15" customHeight="1" s="45">
      <c r="A20" s="44" t="inlineStr">
        <is>
          <t>CHG-017</t>
        </is>
      </c>
      <c r="B20" s="44" t="inlineStr">
        <is>
          <t>25/09/2026</t>
        </is>
      </c>
      <c r="C20" s="44" t="inlineStr">
        <is>
          <t>Module 14 source links</t>
        </is>
      </c>
      <c r="D20" s="44" t="inlineStr">
        <is>
          <t>Updated worker-screening and provider-portal URLs to current canonical NDIS Commission/NDIS paths.</t>
        </is>
      </c>
      <c r="E20" s="44" t="inlineStr">
        <is>
          <t>Final learner pilot/source maintenance</t>
        </is>
      </c>
      <c r="F20" s="44" t="inlineStr">
        <is>
          <t>M14</t>
        </is>
      </c>
      <c r="G20" s="44" t="inlineStr">
        <is>
          <t>Yes</t>
        </is>
      </c>
      <c r="H20" s="44" t="inlineStr">
        <is>
          <t>Closed</t>
        </is>
      </c>
    </row>
    <row r="21" ht="15" customHeight="1" s="45">
      <c r="A21" s="44" t="inlineStr">
        <is>
          <t>CHG-018</t>
        </is>
      </c>
      <c r="B21" s="44" t="inlineStr">
        <is>
          <t>25/09/2026</t>
        </is>
      </c>
      <c r="C21" s="44" t="inlineStr">
        <is>
          <t>M7 learner-facing wording</t>
        </is>
      </c>
      <c r="D21" s="44" t="inlineStr">
        <is>
          <t>Removed direct internal Operational_Key reference from learner-facing text.</t>
        </is>
      </c>
      <c r="E21" s="44" t="inlineStr">
        <is>
          <t>Learner usability / production hygiene pilot</t>
        </is>
      </c>
      <c r="F21" s="44" t="inlineStr">
        <is>
          <t>M7</t>
        </is>
      </c>
      <c r="G21" s="44" t="inlineStr">
        <is>
          <t>Yes</t>
        </is>
      </c>
      <c r="H21" s="44" t="inlineStr">
        <is>
          <t>Closed</t>
        </is>
      </c>
    </row>
    <row r="22" ht="15" customHeight="1" s="45">
      <c r="A22" s="44" t="inlineStr">
        <is>
          <t>CHG-019</t>
        </is>
      </c>
      <c r="B22" s="44" t="inlineStr">
        <is>
          <t>25/09/2026</t>
        </is>
      </c>
      <c r="C22" s="44" t="inlineStr">
        <is>
          <t>M1/M3 learner-facing metadata</t>
        </is>
      </c>
      <c r="D22" s="44" t="inlineStr">
        <is>
          <t>Added release review date; M1 also received official NDIS reference links.</t>
        </is>
      </c>
      <c r="E22" s="44" t="inlineStr">
        <is>
          <t>Final learner pilot consistency check</t>
        </is>
      </c>
      <c r="F22" s="44" t="inlineStr">
        <is>
          <t>M1/M3</t>
        </is>
      </c>
      <c r="G22" s="44" t="inlineStr">
        <is>
          <t>Yes</t>
        </is>
      </c>
      <c r="H22" s="44" t="inlineStr">
        <is>
          <t>Closed</t>
        </is>
      </c>
    </row>
  </sheetData>
  <autoFilter ref="A3:H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N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44" min="1" max="1"/>
    <col width="13" customWidth="1" style="44" min="2" max="2"/>
    <col width="14" customWidth="1" style="44" min="3" max="3"/>
    <col width="12" customWidth="1" style="44" min="4" max="5"/>
    <col width="26" customWidth="1" style="44" min="6" max="6"/>
    <col width="17" customWidth="1" style="44" min="7" max="8"/>
    <col width="27" customWidth="1" style="44" min="9" max="9"/>
    <col width="12" customWidth="1" style="44" min="10" max="10"/>
    <col width="16" customWidth="1" style="44" min="11" max="12"/>
    <col width="21" customWidth="1" style="44" min="13" max="13"/>
  </cols>
  <sheetData>
    <row r="1" ht="17.25" customHeight="1" s="45">
      <c r="A1" s="58" t="inlineStr">
        <is>
          <t>M11 — Learner Invoice Check Log</t>
        </is>
      </c>
    </row>
    <row r="2" ht="15" customHeight="1" s="45">
      <c r="A2" s="84" t="inlineStr">
        <is>
          <t>Blank learner template. Check each line against evidence; record unit, route-to and follow-up. Fictional prices only.</t>
        </is>
      </c>
    </row>
    <row r="3" ht="27.75" customHeight="1" s="45">
      <c r="A3" s="78" t="inlineStr">
        <is>
          <t>Invoice #</t>
        </is>
      </c>
      <c r="B3" s="78" t="inlineStr">
        <is>
          <t>Participant</t>
        </is>
      </c>
      <c r="C3" s="78" t="inlineStr">
        <is>
          <t>Service Date</t>
        </is>
      </c>
      <c r="D3" s="78" t="inlineStr">
        <is>
          <t>Item</t>
        </is>
      </c>
      <c r="E3" s="78" t="inlineStr">
        <is>
          <t>Qty</t>
        </is>
      </c>
      <c r="F3" s="78" t="inlineStr">
        <is>
          <t>Unit</t>
        </is>
      </c>
      <c r="G3" s="78" t="inlineStr">
        <is>
          <t>Fictional Rate/Reference</t>
        </is>
      </c>
      <c r="H3" s="78" t="inlineStr">
        <is>
          <t>Management Type</t>
        </is>
      </c>
      <c r="I3" s="78" t="inlineStr">
        <is>
          <t>Duplicate Check</t>
        </is>
      </c>
      <c r="J3" s="78" t="inlineStr">
        <is>
          <t>Service-Delivery Evidence</t>
        </is>
      </c>
      <c r="K3" s="78" t="inlineStr">
        <is>
          <t>Route To</t>
        </is>
      </c>
      <c r="L3" s="78" t="inlineStr">
        <is>
          <t>Classification</t>
        </is>
      </c>
      <c r="M3" s="78" t="inlineStr">
        <is>
          <t>Why / Evidence</t>
        </is>
      </c>
      <c r="N3" s="78" t="inlineStr">
        <is>
          <t>Follow-Up / Closure</t>
        </is>
      </c>
    </row>
  </sheetData>
  <autoFilter ref="A3:M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44" min="1" max="1"/>
    <col width="43" customWidth="1" style="44" min="2" max="2"/>
    <col width="45" customWidth="1" style="44" min="3" max="3"/>
    <col width="26" customWidth="1" style="44" min="4" max="4"/>
    <col width="18" customWidth="1" style="44" min="5" max="5"/>
    <col width="24" customWidth="1" style="44" min="6" max="6"/>
  </cols>
  <sheetData>
    <row r="1" ht="17.25" customHeight="1" s="45">
      <c r="A1" s="58" t="inlineStr">
        <is>
          <t>M6 — Fictional Support Requests</t>
        </is>
      </c>
    </row>
    <row r="2" ht="15" customHeight="1" s="45">
      <c r="A2" s="84" t="inlineStr">
        <is>
          <t>Use only with M6_Fictional_Plan. Identify what is known, what is ambiguous, and what requires an authorized answer.</t>
        </is>
      </c>
    </row>
    <row r="3" ht="27.75" customHeight="1" s="45">
      <c r="A3" s="78" t="inlineStr">
        <is>
          <t>Request ID</t>
        </is>
      </c>
      <c r="B3" s="78" t="inlineStr">
        <is>
          <t>Request</t>
        </is>
      </c>
      <c r="C3" s="78" t="inlineStr">
        <is>
          <t>Known Plan Context</t>
        </is>
      </c>
      <c r="D3" s="78" t="inlineStr">
        <is>
          <t>Learner Category / Match</t>
        </is>
      </c>
      <c r="E3" s="78" t="inlineStr">
        <is>
          <t>What Is Unclear?</t>
        </is>
      </c>
      <c r="F3" s="78" t="inlineStr">
        <is>
          <t>Clarification Question</t>
        </is>
      </c>
    </row>
    <row r="4" ht="15" customHeight="1" s="45">
      <c r="A4" s="86" t="inlineStr">
        <is>
          <t>SR-01</t>
        </is>
      </c>
      <c r="B4" s="86" t="inlineStr">
        <is>
          <t>Weekly community access support</t>
        </is>
      </c>
      <c r="C4" s="86" t="inlineStr">
        <is>
          <t>Core allocation exists</t>
        </is>
      </c>
      <c r="D4" s="86" t="n"/>
      <c r="E4" s="86" t="n"/>
      <c r="F4" s="86" t="n"/>
    </row>
    <row r="5" ht="15" customHeight="1" s="45">
      <c r="A5" s="86" t="inlineStr">
        <is>
          <t>SR-02</t>
        </is>
      </c>
      <c r="B5" s="86" t="inlineStr">
        <is>
          <t>Physiotherapy appointment</t>
        </is>
      </c>
      <c r="C5" s="86" t="inlineStr">
        <is>
          <t>Capacity Building allocation exists</t>
        </is>
      </c>
      <c r="D5" s="86" t="n"/>
      <c r="E5" s="86" t="n"/>
      <c r="F5" s="86" t="n"/>
    </row>
    <row r="6" ht="15" customHeight="1" s="45">
      <c r="A6" s="86" t="inlineStr">
        <is>
          <t>SR-03</t>
        </is>
      </c>
      <c r="B6" s="86" t="inlineStr">
        <is>
          <t>New support request with unclear category</t>
        </is>
      </c>
      <c r="C6" s="86" t="inlineStr">
        <is>
          <t>Plan has Core and Capacity Building allocations</t>
        </is>
      </c>
      <c r="D6" s="86" t="n"/>
      <c r="E6" s="86" t="n"/>
      <c r="F6" s="86" t="n"/>
    </row>
  </sheetData>
  <autoFilter ref="A3:F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2026-09-19T04:39:15Z</dcterms:created>
  <dcterms:modified xmlns:dcterms="http://purl.org/dc/terms/" xmlns:xsi="http://www.w3.org/2001/XMLSchema-instance" xsi:type="dcterms:W3CDTF">2026-09-26T21:58:46Z</dcterms:modified>
  <cp:revision>0</cp:revision>
</cp:coreProperties>
</file>